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6">
      <text>
        <t xml:space="preserve">Ризики: зміни дизайну й вимог користувачів, затримка Backend, додаткові технічні виправлення.</t>
      </text>
    </comment>
    <comment authorId="0" ref="E63">
      <text>
        <t xml:space="preserve">Години підготовки розгортання враховані. Спільний випуск — віха без додаткових годин.</t>
      </text>
    </comment>
    <comment authorId="0" ref="E62">
      <text>
        <t xml:space="preserve">Ті самі 5,25 год: локальні перевірки — QA 2 год + BE 0,625 год; спільне тестування — QA 2 год + BE 0,625 год. Повторно не додаються.</t>
      </text>
    </comment>
    <comment authorId="0" ref="P38">
      <text>
        <t xml:space="preserve">Ризики: зміни дизайну й вимог користувачів, затримка Backend, додаткові технічні виправлення.</t>
      </text>
    </comment>
    <comment authorId="0" ref="P5">
      <text>
        <t xml:space="preserve">Ризики: зміни дизайну й вимог користувачів, затримка Backend, додаткові технічні виправлення.</t>
      </text>
    </comment>
    <comment authorId="0" ref="P4">
      <text>
        <t xml:space="preserve">Резерв на ризики, у доларах.</t>
      </text>
    </comment>
    <comment authorId="0" ref="P68">
      <text>
        <t xml:space="preserve">Базова вартість плюс резерв на ризики.</t>
      </text>
    </comment>
    <comment authorId="0" ref="P67">
      <text>
        <t xml:space="preserve">Вартість робіт без резерву.</t>
      </text>
    </comment>
    <comment authorId="0" ref="P66">
      <text>
        <t xml:space="preserve">Сума резервів п’яти застосунків і спільного релізу.</t>
      </text>
    </comment>
    <comment authorId="0" ref="P60">
      <text>
        <t xml:space="preserve">Ризики: захист даних, заміна спеціаліста, збій запуску, погодження бюджету.</t>
      </text>
    </comment>
    <comment authorId="0" ref="P27">
      <text>
        <t xml:space="preserve">Ризики: зміни дизайну й вимог користувачів, затримка Backend, додаткові технічні виправлення.</t>
      </text>
    </comment>
    <comment authorId="0" ref="P49">
      <text>
        <t xml:space="preserve">Ризики: зміни дизайну й вимог користувачів, затримка Backend, додаткові технічні виправлення.</t>
      </text>
    </comment>
  </commentList>
</comments>
</file>

<file path=xl/sharedStrings.xml><?xml version="1.0" encoding="utf-8"?>
<sst xmlns="http://schemas.openxmlformats.org/spreadsheetml/2006/main" count="213" uniqueCount="173">
  <si>
    <t>Погодинні ставки, $</t>
  </si>
  <si>
    <r>
      <rPr>
        <rFont val="Arial"/>
        <b/>
        <color theme="1"/>
      </rPr>
      <t>Don't forget to:</t>
    </r>
    <r>
      <rPr>
        <rFont val="Arial"/>
        <color theme="1"/>
      </rPr>
      <t xml:space="preserve">
- Add to the developer's estimate the time for unestimated activities
- Calculate QA and PM as a % mentioned in the lecture</t>
    </r>
  </si>
  <si>
    <t>Застосунок</t>
  </si>
  <si>
    <t>Ініціація і планування, год</t>
  </si>
  <si>
    <t>Виконання, год</t>
  </si>
  <si>
    <t>Завершення та передача, год</t>
  </si>
  <si>
    <t>Разом, год</t>
  </si>
  <si>
    <t>Вартість виробництва, $</t>
  </si>
  <si>
    <t>Вартість релізу, $</t>
  </si>
  <si>
    <t>Загальна вартість, $</t>
  </si>
  <si>
    <t>ID</t>
  </si>
  <si>
    <t>Functions / tasks / activities required</t>
  </si>
  <si>
    <t>Comments / Category</t>
  </si>
  <si>
    <r>
      <rPr>
        <rFont val="Arial"/>
        <b/>
        <color theme="1"/>
      </rPr>
      <t xml:space="preserve">Front End
</t>
    </r>
    <r>
      <rPr>
        <rFont val="Arial"/>
        <b val="0"/>
        <color theme="1"/>
      </rPr>
      <t>(from dev)</t>
    </r>
  </si>
  <si>
    <r>
      <rPr>
        <rFont val="Arial"/>
        <b/>
        <color theme="1"/>
      </rPr>
      <t xml:space="preserve">Front End
</t>
    </r>
    <r>
      <rPr>
        <rFont val="Arial"/>
        <b val="0"/>
        <color theme="1"/>
      </rPr>
      <t xml:space="preserve">With coefficients:
- Unit tests
- Communication
- Bugfix
</t>
    </r>
    <r>
      <rPr>
        <rFont val="Arial"/>
        <b/>
        <color theme="1"/>
      </rPr>
      <t>Use this one for budget calc</t>
    </r>
  </si>
  <si>
    <r>
      <rPr>
        <rFont val="Arial"/>
        <b/>
        <color theme="1"/>
      </rPr>
      <t xml:space="preserve">Back End
</t>
    </r>
    <r>
      <rPr>
        <rFont val="Arial"/>
        <b val="0"/>
        <color theme="1"/>
      </rPr>
      <t>(from dev)</t>
    </r>
  </si>
  <si>
    <r>
      <rPr>
        <rFont val="Arial"/>
        <b/>
        <color theme="1"/>
      </rPr>
      <t xml:space="preserve">Back End
</t>
    </r>
    <r>
      <rPr>
        <rFont val="Arial"/>
        <b val="0"/>
        <color theme="1"/>
      </rPr>
      <t xml:space="preserve">With coefficients:
- Unit tests
- Communication
- Bugfix
</t>
    </r>
    <r>
      <rPr>
        <rFont val="Arial"/>
        <b/>
        <color theme="1"/>
      </rPr>
      <t>Use this one for budget calc</t>
    </r>
  </si>
  <si>
    <t xml:space="preserve">UX/UI </t>
  </si>
  <si>
    <t>DevOps</t>
  </si>
  <si>
    <t>QA</t>
  </si>
  <si>
    <t>PM</t>
  </si>
  <si>
    <t>Cost, $</t>
  </si>
  <si>
    <t>Резерв на ризики, $</t>
  </si>
  <si>
    <t>Трудовитрати, год</t>
  </si>
  <si>
    <t>User App</t>
  </si>
  <si>
    <t>User Application</t>
  </si>
  <si>
    <t>Input the number of hours ⤵️</t>
  </si>
  <si>
    <t>ПІДСУМОК USER APP</t>
  </si>
  <si>
    <t>Courier App</t>
  </si>
  <si>
    <t>Реєстрація та вхід користувача</t>
  </si>
  <si>
    <t>Готовий сервіс автентифікації; email і пароль</t>
  </si>
  <si>
    <t>Restaurant App</t>
  </si>
  <si>
    <t>Відновлення пароля</t>
  </si>
  <si>
    <t>Відновлення через готовий сервіс</t>
  </si>
  <si>
    <t>Admin Panel</t>
  </si>
  <si>
    <t>Головна сторінка зі списком ресторанів</t>
  </si>
  <si>
    <t>Каталог ресторанів, базові картки</t>
  </si>
  <si>
    <t>Support Panel</t>
  </si>
  <si>
    <t>Меню ресторану</t>
  </si>
  <si>
    <t>Каталог страв і цін одного ресторану</t>
  </si>
  <si>
    <t>УСЬОГО</t>
  </si>
  <si>
    <t>Кошик замовлень</t>
  </si>
  <si>
    <t>Додавання/видалення позицій</t>
  </si>
  <si>
    <t>Оформлення замовлення</t>
  </si>
  <si>
    <t>Створення та збереження замовлення</t>
  </si>
  <si>
    <t>Відображення повної вартості замовлення</t>
  </si>
  <si>
    <t>Підсумок страв та доставки</t>
  </si>
  <si>
    <t>Оплата готівкою при отриманні</t>
  </si>
  <si>
    <t>Без інтеграції платіжного шлюзу</t>
  </si>
  <si>
    <t>Відстеження статусу замовлення</t>
  </si>
  <si>
    <t>Лише текстовий статус; без GPS-мапи</t>
  </si>
  <si>
    <t>Застосунок / блок</t>
  </si>
  <si>
    <t>Ризик / сценарій</t>
  </si>
  <si>
    <t>FE, год</t>
  </si>
  <si>
    <t>BE, год</t>
  </si>
  <si>
    <t>UX/UI, год</t>
  </si>
  <si>
    <t>DevOps, год</t>
  </si>
  <si>
    <t>QA, год</t>
  </si>
  <si>
    <t>PM, год</t>
  </si>
  <si>
    <t>Додаткові витрати, $</t>
  </si>
  <si>
    <t>Історія замовлень</t>
  </si>
  <si>
    <t>Список попередніх замовлень</t>
  </si>
  <si>
    <t>Правки UX/UI та сценаріїв</t>
  </si>
  <si>
    <t>Сourier Application</t>
  </si>
  <si>
    <t>ПІДСУМОК COURIER APP</t>
  </si>
  <si>
    <t>Додаткові технічні виправлення</t>
  </si>
  <si>
    <t>Реєстрація та вхід</t>
  </si>
  <si>
    <t>Готовий сервіс авторизації</t>
  </si>
  <si>
    <t>Через готовий сервіс</t>
  </si>
  <si>
    <t>Список доступних замовлень</t>
  </si>
  <si>
    <t>Перелік замовлень</t>
  </si>
  <si>
    <t>Прийняття або відхилення замовлення</t>
  </si>
  <si>
    <t>Проста зміна стану</t>
  </si>
  <si>
    <t>Деталі замовлення</t>
  </si>
  <si>
    <t>Адреси ресторану та клієнта</t>
  </si>
  <si>
    <t>Зміна статусу замовлення</t>
  </si>
  <si>
    <t>Забрав, у дорозі, доставив</t>
  </si>
  <si>
    <t>Навігація через Google Maps</t>
  </si>
  <si>
    <t>Перехід до зовнішнього застосунку</t>
  </si>
  <si>
    <t>Зв’язок із клієнтом</t>
  </si>
  <si>
    <t>Звичайний дзвінок без чату</t>
  </si>
  <si>
    <t>Зв’язок із підтримкою</t>
  </si>
  <si>
    <t>Контакт служби підтримки</t>
  </si>
  <si>
    <t>Спільний реліз</t>
  </si>
  <si>
    <t>Захист спільної системи</t>
  </si>
  <si>
    <t>Історія доставок</t>
  </si>
  <si>
    <t>Перелік виконаних замовлень</t>
  </si>
  <si>
    <t>Заміна одного спеціаліста</t>
  </si>
  <si>
    <t>Restaurant Application</t>
  </si>
  <si>
    <t>ПІДСУМОК RESTAURANT APP</t>
  </si>
  <si>
    <t>Збій розгортання / відновлення</t>
  </si>
  <si>
    <t>Погодження додаткового бюджету</t>
  </si>
  <si>
    <t>УСЬОГО РЕЗЕРВ</t>
  </si>
  <si>
    <t/>
  </si>
  <si>
    <t>Сторінка ресторану</t>
  </si>
  <si>
    <t>Назва, опис, фото та години роботи</t>
  </si>
  <si>
    <t>Редагування сторінки ресторану</t>
  </si>
  <si>
    <t>Зміна інформації й фотографій</t>
  </si>
  <si>
    <t>Години резерву — планувальні припущення. Дні очікування не переводяться автоматично у витрати. AI та онлайн-платежі не входять у MVP. Низька активність не затримує запуск; покращення після запуску оцінюються окремо.</t>
  </si>
  <si>
    <t>Додавання страв</t>
  </si>
  <si>
    <t>Назва, ціна, фото, опис</t>
  </si>
  <si>
    <t>Редагування меню</t>
  </si>
  <si>
    <t>Зміна цін, позицій і доступності</t>
  </si>
  <si>
    <t>Акції та знижки</t>
  </si>
  <si>
    <t>Прості спеціальні пропозиції</t>
  </si>
  <si>
    <t>Отримання замовлень</t>
  </si>
  <si>
    <t>Перелік нових замовлень</t>
  </si>
  <si>
    <t>Управління замовленнями</t>
  </si>
  <si>
    <t>Прийняти, відхилити, готово</t>
  </si>
  <si>
    <t>Список завершених замовлень</t>
  </si>
  <si>
    <t>ПІДСУМОК ADMIN PANEL</t>
  </si>
  <si>
    <t>Вхід адміністратора</t>
  </si>
  <si>
    <t>Панель зі статистикою замовлень</t>
  </si>
  <si>
    <t>Основні показники без складної аналітики</t>
  </si>
  <si>
    <t>Управління користувачами</t>
  </si>
  <si>
    <t>Перегляд і зміна статусів</t>
  </si>
  <si>
    <t>Управління ресторанами</t>
  </si>
  <si>
    <t>Список та модерація</t>
  </si>
  <si>
    <t>Управління кур’єрами</t>
  </si>
  <si>
    <t>Список і статуси кур’єрів</t>
  </si>
  <si>
    <t>Перегляд усіх замовлень</t>
  </si>
  <si>
    <t>Загальний список і фільтри</t>
  </si>
  <si>
    <t>Зміна та скасування замовлень</t>
  </si>
  <si>
    <t>Редагування статусу / скасування</t>
  </si>
  <si>
    <t>Скарги та звернення</t>
  </si>
  <si>
    <t>Перегляд і обробка звернень</t>
  </si>
  <si>
    <t>Ролі та права доступу</t>
  </si>
  <si>
    <t>Розмежування доступу адміністратора</t>
  </si>
  <si>
    <t>ПІДСУМОК SUPPORT PANEL</t>
  </si>
  <si>
    <t>Вхід співробітника</t>
  </si>
  <si>
    <t>Список звернень</t>
  </si>
  <si>
    <t>Усі заявки до підтримки</t>
  </si>
  <si>
    <t>Перегляд звернення</t>
  </si>
  <si>
    <t>Деталі проблеми та дані користувача</t>
  </si>
  <si>
    <t>Відповідь користувачу</t>
  </si>
  <si>
    <t>Простий чат без чат-бота</t>
  </si>
  <si>
    <t>Статуси звернень</t>
  </si>
  <si>
    <t>Нове, в роботі, закрите</t>
  </si>
  <si>
    <t>Пошук замовлення</t>
  </si>
  <si>
    <t>Пошук за номером або користувачем</t>
  </si>
  <si>
    <t>Обробка скарг</t>
  </si>
  <si>
    <t>Скарги на доставку, заклад чи кур'єра</t>
  </si>
  <si>
    <t>Передача звернення колезі</t>
  </si>
  <si>
    <t>Призначення відповідального</t>
  </si>
  <si>
    <t>Історія звернень</t>
  </si>
  <si>
    <t>Перелік вирішених звернень</t>
  </si>
  <si>
    <t>Release activities</t>
  </si>
  <si>
    <t>ПІДСУМОК РЕЛІЗУ, ГОД</t>
  </si>
  <si>
    <t>Планування релізу</t>
  </si>
  <si>
    <t>Локальна регресія та спільне тестування</t>
  </si>
  <si>
    <t>Розгортання без відкриття доступу</t>
  </si>
  <si>
    <t>Комунікація під час релізу</t>
  </si>
  <si>
    <t>Післярелізний моніторинг</t>
  </si>
  <si>
    <t>Резерв на ризики</t>
  </si>
  <si>
    <t>Вартість робіт без резерву</t>
  </si>
  <si>
    <t>Загальний бюджет із резервом</t>
  </si>
  <si>
    <t>МЕТОДИКА РОЗРАХУНКУ БЮДЖЕТУ MEGA DELIVERY</t>
  </si>
  <si>
    <t>Frontend і Backend: базові години + Unit Tests (10% бази) + Bugfixing (20% бази) + комунікація [15% × (база + Bugfixing)]. Підсумковий коефіцієнт = 1,48.</t>
  </si>
  <si>
    <t>UX/UI: базові години × 1,15, включно з комунікацією та узгодженнями.</t>
  </si>
  <si>
    <t>QA: 10% від суми базових годин FE + BE + UX/UI; додатково 15% на комунікацію. Разом = база розробки та дизайну × 0,115.</t>
  </si>
  <si>
    <t>Project Manager: 15% від суми базових годин FE + BE + UX/UI; додатково 15% на комунікацію. Разом = база розробки та дизайну × 0,1725.</t>
  </si>
  <si>
    <t>DevOps: базово 4 год для User, Courier, Restaurant або 3 год для Admin, Support; додатково 15% комунікації.</t>
  </si>
  <si>
    <t>Реліз, регресійне тестування, розгортання та моніторинг уже враховані в годинах відповідних ролей кожного застосунку; повторно не оплачуються.</t>
  </si>
  <si>
    <t>Базова оцінка — 812,815 год і 54 739,60 $. Окремий резерв на ризики — 15 260 $. Загальний бюджет із резервом — 69 999,60 $. Значення без проміжного округлення.</t>
  </si>
  <si>
    <t>Module</t>
  </si>
  <si>
    <t>Total estimation</t>
  </si>
  <si>
    <t>Коментар від куратора</t>
  </si>
  <si>
    <t>Front End (44 hours), Back End (44 hours), UX/UI (30 hours)</t>
  </si>
  <si>
    <t xml:space="preserve">потрібно розподілити загальну суму годин по кожному модулю між задачами по цьому модулю
окремо рахується: 
Unit tests (перевірка розробниками свого коду) = 10% від часу всієї розробки
Bugfixing (ремонтування того, що зламалося) = 20% від часу всієї розробки
Communication (дейлі, зустрічі, чати тощо) = 15% від часу всієї розробки + багфіксингу 
</t>
  </si>
  <si>
    <t>Front End (37 hours), Back End (38 hours), UX/UI (24 hours)</t>
  </si>
  <si>
    <t>Front End (33 hours), Back End (34 hours), UX/UI (23 hours)</t>
  </si>
  <si>
    <t>Front End (31 hours), Back End (31 hours), UX/UI (20 hours)</t>
  </si>
  <si>
    <t>Front End (31 hours), Back End (30 hours), UX/UI (20 hours)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</si>
</sst>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.00_);_(&quot;$&quot;* \(#,##0.00\);_(&quot;$&quot;* &quot;-&quot;??_);_(@_)"/>
    <numFmt numFmtId="165" formatCode="&quot;$&quot;#,##0"/>
    <numFmt numFmtId="166" formatCode="[$€]#,##0.00"/>
    <numFmt numFmtId="167" formatCode="0.0000"/>
    <numFmt numFmtId="168" formatCode="$#,##0.00"/>
    <numFmt numFmtId="169" formatCode="[$$]#,##0"/>
  </numFmts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  <scheme val="minor"/>
    </font>
    <font>
      <b/>
      <color rgb="FFBF1421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i/>
      <color rgb="FF999999"/>
      <name val="Arial"/>
    </font>
    <font>
      <sz val="10.0"/>
      <color theme="1"/>
      <name val="Arial"/>
      <scheme val="minor"/>
    </font>
    <font>
      <color rgb="FF999999"/>
      <name val="Arial"/>
    </font>
    <font>
      <b/>
      <i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28567A"/>
        <bgColor rgb="FF28567A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5DBF4"/>
        <bgColor rgb="FFE5DBF4"/>
      </patternFill>
    </fill>
    <fill>
      <patternFill patternType="solid">
        <fgColor rgb="FFD3DDF4"/>
        <bgColor rgb="FFD3DDF4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</fills>
  <borders count="5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readingOrder="0" shrinkToFit="0" vertical="bottom" wrapText="1"/>
    </xf>
    <xf borderId="2" fillId="0" fontId="1" numFmtId="164" xfId="0" applyAlignment="1" applyBorder="1" applyFont="1" applyNumberForma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165" xfId="0" applyAlignment="1" applyFont="1" applyNumberFormat="1">
      <alignment vertical="bottom"/>
    </xf>
    <xf borderId="3" fillId="0" fontId="1" numFmtId="0" xfId="0" applyAlignment="1" applyBorder="1" applyFont="1">
      <alignment vertical="bottom"/>
    </xf>
    <xf borderId="0" fillId="3" fontId="3" numFmtId="0" xfId="0" applyAlignment="1" applyFill="1" applyFont="1">
      <alignment readingOrder="0" shrinkToFit="0" wrapText="1"/>
    </xf>
    <xf borderId="1" fillId="0" fontId="1" numFmtId="0" xfId="0" applyAlignment="1" applyBorder="1" applyFont="1">
      <alignment vertical="top"/>
    </xf>
    <xf borderId="0" fillId="4" fontId="2" numFmtId="0" xfId="0" applyAlignment="1" applyFill="1" applyFont="1">
      <alignment horizontal="center" vertical="top"/>
    </xf>
    <xf borderId="0" fillId="4" fontId="1" numFmtId="0" xfId="0" applyAlignment="1" applyFill="1" applyFont="1">
      <alignment vertical="top"/>
    </xf>
    <xf borderId="0" fillId="4" fontId="2" numFmtId="0" xfId="0" applyAlignment="1" applyFill="1" applyFont="1">
      <alignment horizontal="center" shrinkToFit="0" vertical="top" wrapText="1"/>
    </xf>
    <xf borderId="0" fillId="4" fontId="2" numFmtId="0" xfId="0" applyAlignment="1" applyFill="1" applyFont="1">
      <alignment shrinkToFit="0" vertical="top" wrapText="1"/>
    </xf>
    <xf borderId="1" fillId="4" fontId="2" numFmtId="0" xfId="0" applyAlignment="1" applyBorder="1" applyFill="1" applyFont="1">
      <alignment horizontal="center" vertical="top"/>
    </xf>
    <xf borderId="0" fillId="5" fontId="2" numFmtId="166" xfId="0" applyAlignment="1" applyFill="1" applyFont="1" applyNumberFormat="1">
      <alignment horizontal="center" vertical="top"/>
    </xf>
    <xf borderId="0" fillId="5" fontId="4" numFmtId="166" xfId="0" applyAlignment="1" applyFill="1" applyFont="1" applyNumberFormat="1">
      <alignment horizontal="center" shrinkToFit="0" vertical="top" wrapText="1"/>
    </xf>
    <xf borderId="0" fillId="0" fontId="1" numFmtId="0" xfId="0" applyAlignment="1" applyFont="1">
      <alignment vertical="top"/>
    </xf>
    <xf borderId="0" fillId="0" fontId="5" numFmtId="0" xfId="0" applyAlignment="1" applyFont="1">
      <alignment readingOrder="0"/>
    </xf>
    <xf borderId="0" fillId="0" fontId="5" numFmtId="167" xfId="0" applyAlignment="1" applyFont="1" applyNumberFormat="1">
      <alignment readingOrder="0"/>
    </xf>
    <xf borderId="0" fillId="0" fontId="5" numFmtId="167" xfId="0" applyFont="1" applyNumberFormat="1"/>
    <xf borderId="0" fillId="0" fontId="5" numFmtId="168" xfId="0" applyFont="1" applyNumberFormat="1"/>
    <xf borderId="0" fillId="0" fontId="5" numFmtId="168" xfId="0" applyAlignment="1" applyFont="1" applyNumberFormat="1">
      <alignment readingOrder="0"/>
    </xf>
    <xf borderId="1" fillId="0" fontId="1" numFmtId="0" xfId="0" applyAlignment="1" applyBorder="1" applyFont="1">
      <alignment vertical="bottom"/>
    </xf>
    <xf borderId="0" fillId="6" fontId="1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0" fillId="6" fontId="1" numFmtId="0" xfId="0" applyAlignment="1" applyFill="1" applyFont="1">
      <alignment horizontal="center" vertical="bottom"/>
    </xf>
    <xf borderId="1" fillId="0" fontId="6" numFmtId="0" xfId="0" applyBorder="1" applyFont="1"/>
    <xf borderId="0" fillId="6" fontId="2" numFmtId="164" xfId="0" applyAlignment="1" applyFill="1" applyFont="1" applyNumberFormat="1">
      <alignment horizontal="right" shrinkToFit="0" vertical="bottom" wrapText="1"/>
    </xf>
    <xf borderId="0" fillId="7" fontId="4" numFmtId="4" xfId="0" applyAlignment="1" applyFill="1" applyFont="1" applyNumberFormat="1">
      <alignment horizontal="right" shrinkToFit="0" vertical="bottom" wrapText="1"/>
    </xf>
    <xf borderId="0" fillId="8" fontId="7" numFmtId="0" xfId="0" applyAlignment="1" applyFill="1" applyFont="1">
      <alignment readingOrder="0"/>
    </xf>
    <xf borderId="0" fillId="8" fontId="7" numFmtId="2" xfId="0" applyAlignment="1" applyFill="1" applyFont="1" applyNumberFormat="1">
      <alignment readingOrder="0"/>
    </xf>
    <xf borderId="0" fillId="9" fontId="1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10" fontId="1" numFmtId="1" xfId="0" applyAlignment="1" applyFill="1" applyFont="1" applyNumberFormat="1">
      <alignment readingOrder="0" vertical="bottom"/>
    </xf>
    <xf borderId="0" fillId="10" fontId="1" numFmtId="1" xfId="0" applyAlignment="1" applyFill="1" applyFont="1" applyNumberFormat="1">
      <alignment vertical="bottom"/>
    </xf>
    <xf borderId="0" fillId="5" fontId="1" numFmtId="164" xfId="0" applyAlignment="1" applyFill="1" applyFont="1" applyNumberFormat="1">
      <alignment horizontal="right" shrinkToFit="0" vertical="bottom" wrapText="1"/>
    </xf>
    <xf borderId="0" fillId="0" fontId="1" numFmtId="169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5" numFmtId="2" xfId="0" applyFont="1" applyNumberFormat="1"/>
    <xf borderId="0" fillId="7" fontId="4" numFmtId="0" xfId="0" applyAlignment="1" applyFill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9" numFmtId="4" xfId="0" applyAlignment="1" applyFont="1" applyNumberFormat="1">
      <alignment shrinkToFit="0" wrapText="1"/>
    </xf>
    <xf borderId="0" fillId="0" fontId="9" numFmtId="4" xfId="0" applyAlignment="1" applyFont="1" applyNumberFormat="1">
      <alignment readingOrder="0" shrinkToFit="0" wrapText="1"/>
    </xf>
    <xf borderId="0" fillId="6" fontId="10" numFmtId="0" xfId="0" applyAlignment="1" applyFill="1" applyFont="1">
      <alignment vertical="bottom"/>
    </xf>
    <xf borderId="0" fillId="6" fontId="1" numFmtId="1" xfId="0" applyAlignment="1" applyFill="1" applyFont="1" applyNumberFormat="1">
      <alignment vertical="bottom"/>
    </xf>
    <xf borderId="1" fillId="6" fontId="1" numFmtId="1" xfId="0" applyAlignment="1" applyBorder="1" applyFill="1" applyFont="1" applyNumberFormat="1">
      <alignment vertical="bottom"/>
    </xf>
    <xf borderId="0" fillId="11" fontId="7" numFmtId="0" xfId="0" applyAlignment="1" applyFill="1" applyFont="1">
      <alignment readingOrder="0"/>
    </xf>
    <xf borderId="0" fillId="11" fontId="7" numFmtId="2" xfId="0" applyFill="1" applyFont="1" applyNumberFormat="1"/>
    <xf borderId="0" fillId="7" fontId="4" numFmtId="4" xfId="0" applyAlignment="1" applyFill="1" applyFont="1" applyNumberFormat="1">
      <alignment shrinkToFit="0" wrapText="1"/>
    </xf>
    <xf borderId="0" fillId="0" fontId="9" numFmtId="0" xfId="0" applyAlignment="1" applyFont="1">
      <alignment readingOrder="0" shrinkToFit="0" vertical="top" wrapText="1"/>
    </xf>
    <xf borderId="0" fillId="6" fontId="1" numFmtId="164" xfId="0" applyAlignment="1" applyFill="1" applyFont="1" applyNumberFormat="1">
      <alignment horizontal="right" shrinkToFit="0" vertical="bottom" wrapText="1"/>
    </xf>
    <xf borderId="0" fillId="6" fontId="11" numFmtId="0" xfId="0" applyAlignment="1" applyFill="1" applyFont="1">
      <alignment vertical="bottom"/>
    </xf>
    <xf borderId="0" fillId="0" fontId="10" numFmtId="0" xfId="0" applyAlignment="1" applyFont="1">
      <alignment readingOrder="0"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right" vertical="bottom"/>
    </xf>
    <xf borderId="0" fillId="10" fontId="1" numFmtId="1" xfId="0" applyAlignment="1" applyFill="1" applyFont="1" applyNumberFormat="1">
      <alignment horizontal="right" readingOrder="0" vertical="bottom"/>
    </xf>
    <xf borderId="0" fillId="5" fontId="1" numFmtId="164" xfId="0" applyAlignment="1" applyFill="1" applyFont="1" applyNumberFormat="1">
      <alignment horizontal="right" readingOrder="0" shrinkToFit="0" vertical="bottom" wrapText="1"/>
    </xf>
    <xf borderId="0" fillId="6" fontId="1" numFmtId="0" xfId="0" applyAlignment="1" applyFill="1" applyFont="1">
      <alignment readingOrder="0" vertical="bottom"/>
    </xf>
    <xf borderId="1" fillId="6" fontId="1" numFmtId="0" xfId="0" applyAlignment="1" applyBorder="1" applyFill="1" applyFont="1">
      <alignment vertical="bottom"/>
    </xf>
    <xf borderId="0" fillId="6" fontId="1" numFmtId="165" xfId="0" applyAlignment="1" applyFill="1" applyFont="1" applyNumberFormat="1">
      <alignment vertical="bottom"/>
    </xf>
    <xf borderId="0" fillId="7" fontId="4" numFmtId="4" xfId="0" applyAlignment="1" applyFill="1" applyFont="1" applyNumberFormat="1">
      <alignment horizontal="right" vertical="bottom"/>
    </xf>
    <xf borderId="3" fillId="6" fontId="1" numFmtId="0" xfId="0" applyAlignment="1" applyBorder="1" applyFill="1" applyFont="1">
      <alignment vertical="bottom"/>
    </xf>
    <xf borderId="3" fillId="6" fontId="2" numFmtId="0" xfId="0" applyAlignment="1" applyBorder="1" applyFill="1" applyFont="1">
      <alignment readingOrder="0" vertical="bottom"/>
    </xf>
    <xf borderId="4" fillId="6" fontId="1" numFmtId="0" xfId="0" applyAlignment="1" applyBorder="1" applyFill="1" applyFont="1">
      <alignment vertical="bottom"/>
    </xf>
    <xf borderId="0" fillId="9" fontId="1" numFmtId="166" xfId="0" applyAlignment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5" max="5" width="23.63"/>
    <col customWidth="1" min="6" max="6" width="23.38"/>
    <col customWidth="1" min="8" max="8" width="22.88"/>
    <col customWidth="1" min="9" max="9" width="20.63"/>
    <col customWidth="1" min="10" max="10" width="26.38"/>
    <col customWidth="1" min="16" max="16" width="17.63"/>
    <col customWidth="1" min="18" max="18" width="29.5"/>
    <col customWidth="1" min="19" max="19" width="21.38"/>
  </cols>
  <sheetData>
    <row r="1">
      <c r="A1" s="1"/>
      <c r="B1" s="1"/>
      <c r="C1" s="1"/>
      <c r="D1" s="1"/>
      <c r="E1" s="1"/>
      <c r="F1" s="2" t="s">
        <v>0</v>
      </c>
      <c r="G1" s="3">
        <v>70.0</v>
      </c>
      <c r="H1" s="3">
        <v>70.0</v>
      </c>
      <c r="I1" s="3">
        <v>75.0</v>
      </c>
      <c r="J1" s="3">
        <v>75.0</v>
      </c>
      <c r="K1" s="3">
        <v>60.0</v>
      </c>
      <c r="L1" s="3">
        <v>85.0</v>
      </c>
      <c r="M1" s="3">
        <v>55.0</v>
      </c>
      <c r="N1" s="3">
        <v>50.0</v>
      </c>
      <c r="O1" s="1"/>
      <c r="P1" s="1"/>
      <c r="Q1" s="1"/>
    </row>
    <row r="2">
      <c r="A2" s="1"/>
      <c r="B2" s="4" t="s">
        <v>1</v>
      </c>
      <c r="G2" s="5"/>
      <c r="H2" s="5"/>
      <c r="I2" s="5"/>
      <c r="J2" s="5"/>
      <c r="K2" s="5"/>
      <c r="L2" s="5"/>
      <c r="M2" s="5"/>
      <c r="N2" s="5"/>
      <c r="O2" s="1"/>
      <c r="P2" s="1"/>
      <c r="Q2" s="1"/>
    </row>
    <row r="3">
      <c r="A3" s="1"/>
      <c r="B3" s="6"/>
      <c r="C3" s="6"/>
      <c r="D3" s="6"/>
      <c r="E3" s="6"/>
      <c r="F3" s="6"/>
      <c r="G3" s="6"/>
      <c r="H3" s="6"/>
      <c r="I3" s="6"/>
      <c r="J3" s="1"/>
      <c r="K3" s="6"/>
      <c r="L3" s="6"/>
      <c r="M3" s="6"/>
      <c r="N3" s="6"/>
      <c r="O3" s="1"/>
      <c r="P3" s="1"/>
      <c r="Q3" s="1"/>
      <c r="U3" s="7" t="s">
        <v>2</v>
      </c>
      <c r="V3" s="7" t="s">
        <v>3</v>
      </c>
      <c r="W3" s="7" t="s">
        <v>4</v>
      </c>
      <c r="X3" s="7" t="s">
        <v>5</v>
      </c>
      <c r="Y3" s="7" t="s">
        <v>6</v>
      </c>
      <c r="Z3" s="7" t="s">
        <v>7</v>
      </c>
      <c r="AA3" s="7" t="s">
        <v>8</v>
      </c>
      <c r="AB3" s="7" t="s">
        <v>9</v>
      </c>
    </row>
    <row r="4" ht="117.0" customHeight="1">
      <c r="A4" s="8"/>
      <c r="B4" s="9" t="s">
        <v>10</v>
      </c>
      <c r="C4" s="10"/>
      <c r="D4" s="10"/>
      <c r="E4" s="11" t="s">
        <v>11</v>
      </c>
      <c r="F4" s="11" t="s">
        <v>12</v>
      </c>
      <c r="G4" s="9" t="s">
        <v>13</v>
      </c>
      <c r="H4" s="12" t="s">
        <v>14</v>
      </c>
      <c r="I4" s="9" t="s">
        <v>15</v>
      </c>
      <c r="J4" s="12" t="s">
        <v>16</v>
      </c>
      <c r="K4" s="9" t="s">
        <v>17</v>
      </c>
      <c r="L4" s="9" t="s">
        <v>18</v>
      </c>
      <c r="M4" s="9" t="s">
        <v>19</v>
      </c>
      <c r="N4" s="13" t="s">
        <v>20</v>
      </c>
      <c r="O4" s="14" t="s">
        <v>21</v>
      </c>
      <c r="P4" s="15" t="s">
        <v>22</v>
      </c>
      <c r="Q4" s="16"/>
      <c r="S4" s="17" t="s">
        <v>23</v>
      </c>
      <c r="U4" s="17" t="s">
        <v>24</v>
      </c>
      <c r="V4" s="18">
        <v>9.5</v>
      </c>
      <c r="W4" s="19">
        <f>S5-V4</f>
        <v>187.215</v>
      </c>
      <c r="X4" s="18">
        <v>6.55</v>
      </c>
      <c r="Y4" s="19">
        <f t="shared" ref="Y4:Y8" si="1">SUM(V4:X4)</f>
        <v>203.265</v>
      </c>
      <c r="Z4" s="20">
        <f>O5</f>
        <v>13229.25</v>
      </c>
      <c r="AA4" s="21">
        <v>438.25</v>
      </c>
      <c r="AB4" s="20">
        <f t="shared" ref="AB4:AB8" si="2">Z4+AA4</f>
        <v>13667.5</v>
      </c>
    </row>
    <row r="5">
      <c r="A5" s="22"/>
      <c r="B5" s="23"/>
      <c r="C5" s="24" t="s">
        <v>25</v>
      </c>
      <c r="D5" s="23"/>
      <c r="E5" s="23"/>
      <c r="F5" s="25" t="s">
        <v>26</v>
      </c>
      <c r="N5" s="26"/>
      <c r="O5" s="27">
        <f>SUM(O6:O15)</f>
        <v>13229.25</v>
      </c>
      <c r="P5" s="28">
        <f>SUM(AC15:AC16)</f>
        <v>2867</v>
      </c>
      <c r="Q5" s="1"/>
      <c r="R5" s="29" t="s">
        <v>27</v>
      </c>
      <c r="S5" s="30">
        <f>SUM(H6:H15)+SUM(J6:J15)+SUM(K6:K15)+SUM(L6:L15)+SUM(M6:M15)+SUM(N6:N15)</f>
        <v>196.715</v>
      </c>
      <c r="U5" s="17" t="s">
        <v>28</v>
      </c>
      <c r="V5" s="18">
        <v>2.5</v>
      </c>
      <c r="W5" s="19">
        <f>S16-V5</f>
        <v>162.6125</v>
      </c>
      <c r="X5" s="18">
        <v>6.55</v>
      </c>
      <c r="Y5" s="19">
        <f t="shared" si="1"/>
        <v>171.6625</v>
      </c>
      <c r="Z5" s="20">
        <f>O16</f>
        <v>11140</v>
      </c>
      <c r="AA5" s="21">
        <v>438.25</v>
      </c>
      <c r="AB5" s="20">
        <f t="shared" si="2"/>
        <v>11578.25</v>
      </c>
    </row>
    <row r="6">
      <c r="A6" s="22"/>
      <c r="B6" s="1"/>
      <c r="C6" s="1"/>
      <c r="D6" s="31"/>
      <c r="E6" s="32" t="s">
        <v>29</v>
      </c>
      <c r="F6" s="33" t="s">
        <v>30</v>
      </c>
      <c r="G6" s="34">
        <v>4.0</v>
      </c>
      <c r="H6" s="35">
        <f t="shared" ref="H6:H15" si="3">IF(G6="","",G6*(1+10%+20%+15%*(1+20%)))</f>
        <v>5.92</v>
      </c>
      <c r="I6" s="34">
        <v>5.0</v>
      </c>
      <c r="J6" s="35">
        <f t="shared" ref="J6:J14" si="4">IF(I6="","",I6*(1+10%+20%+15%*(1+20%)))</f>
        <v>7.4</v>
      </c>
      <c r="K6" s="34">
        <v>3.4499999999999997</v>
      </c>
      <c r="L6" s="36">
        <v>1.15</v>
      </c>
      <c r="M6" s="37">
        <f>(G6+I6+3)*115/1000</f>
        <v>1.38</v>
      </c>
      <c r="N6" s="37">
        <f>(G6+I6+3)*1725/10000</f>
        <v>2.07</v>
      </c>
      <c r="O6" s="38">
        <f t="shared" ref="O6:O15" si="5">H6*H$1+J6*J$1+K6*K$1+L6*L$1+M6*M$1+N6*N$1</f>
        <v>1453.55</v>
      </c>
      <c r="P6" s="39"/>
      <c r="Q6" s="1"/>
      <c r="R6" s="40"/>
      <c r="U6" s="17" t="s">
        <v>31</v>
      </c>
      <c r="V6" s="18">
        <v>2.5</v>
      </c>
      <c r="W6" s="19">
        <f>S27-V6</f>
        <v>147.035</v>
      </c>
      <c r="X6" s="18">
        <v>6.55</v>
      </c>
      <c r="Y6" s="19">
        <f t="shared" si="1"/>
        <v>156.085</v>
      </c>
      <c r="Z6" s="20">
        <f>O27</f>
        <v>10078.05</v>
      </c>
      <c r="AA6" s="21">
        <v>438.25</v>
      </c>
      <c r="AB6" s="20">
        <f t="shared" si="2"/>
        <v>10516.3</v>
      </c>
    </row>
    <row r="7">
      <c r="A7" s="22"/>
      <c r="B7" s="1"/>
      <c r="C7" s="1"/>
      <c r="D7" s="31"/>
      <c r="E7" s="32" t="s">
        <v>32</v>
      </c>
      <c r="F7" s="41" t="s">
        <v>33</v>
      </c>
      <c r="G7" s="34">
        <v>2.0</v>
      </c>
      <c r="H7" s="35">
        <f t="shared" si="3"/>
        <v>2.96</v>
      </c>
      <c r="I7" s="34">
        <v>3.0</v>
      </c>
      <c r="J7" s="35">
        <f t="shared" si="4"/>
        <v>4.44</v>
      </c>
      <c r="K7" s="34">
        <v>2.3</v>
      </c>
      <c r="L7" s="36">
        <v>0.0</v>
      </c>
      <c r="M7" s="37">
        <f>(G7+I7+2)*115/1000</f>
        <v>0.805</v>
      </c>
      <c r="N7" s="37">
        <f>(G7+I7+2)*1725/10000</f>
        <v>1.2075</v>
      </c>
      <c r="O7" s="38">
        <f t="shared" si="5"/>
        <v>782.85</v>
      </c>
      <c r="P7" s="39"/>
      <c r="Q7" s="1"/>
      <c r="R7" s="42"/>
      <c r="U7" s="17" t="s">
        <v>34</v>
      </c>
      <c r="V7" s="18">
        <v>2.5</v>
      </c>
      <c r="W7" s="19">
        <f>S38-V7</f>
        <v>132.735</v>
      </c>
      <c r="X7" s="18">
        <v>6.55</v>
      </c>
      <c r="Y7" s="19">
        <f t="shared" si="1"/>
        <v>141.785</v>
      </c>
      <c r="Z7" s="20">
        <f>O38</f>
        <v>9113.5</v>
      </c>
      <c r="AA7" s="21">
        <v>438.25</v>
      </c>
      <c r="AB7" s="20">
        <f t="shared" si="2"/>
        <v>9551.75</v>
      </c>
    </row>
    <row r="8">
      <c r="A8" s="22"/>
      <c r="B8" s="1"/>
      <c r="C8" s="1"/>
      <c r="D8" s="31"/>
      <c r="E8" s="32" t="s">
        <v>35</v>
      </c>
      <c r="F8" s="41" t="s">
        <v>36</v>
      </c>
      <c r="G8" s="34">
        <v>8.0</v>
      </c>
      <c r="H8" s="35">
        <f t="shared" si="3"/>
        <v>11.84</v>
      </c>
      <c r="I8" s="34">
        <v>6.0</v>
      </c>
      <c r="J8" s="35">
        <f t="shared" si="4"/>
        <v>8.88</v>
      </c>
      <c r="K8" s="34">
        <v>6.8999999999999995</v>
      </c>
      <c r="L8" s="36">
        <v>1.15</v>
      </c>
      <c r="M8" s="37">
        <f>(G8+I8+6)*115/1000</f>
        <v>2.3</v>
      </c>
      <c r="N8" s="37">
        <f>(G8+I8+6)*1725/10000</f>
        <v>3.45</v>
      </c>
      <c r="O8" s="38">
        <f t="shared" si="5"/>
        <v>2305.55</v>
      </c>
      <c r="P8" s="39"/>
      <c r="Q8" s="1"/>
      <c r="R8" s="42"/>
      <c r="U8" s="17" t="s">
        <v>37</v>
      </c>
      <c r="V8" s="18">
        <v>2.5</v>
      </c>
      <c r="W8" s="19">
        <f>S49-V8</f>
        <v>130.9675</v>
      </c>
      <c r="X8" s="18">
        <v>6.55</v>
      </c>
      <c r="Y8" s="19">
        <f t="shared" si="1"/>
        <v>140.0175</v>
      </c>
      <c r="Z8" s="20">
        <f>O49</f>
        <v>8987.55</v>
      </c>
      <c r="AA8" s="21">
        <v>438.25</v>
      </c>
      <c r="AB8" s="20">
        <f t="shared" si="2"/>
        <v>9425.8</v>
      </c>
    </row>
    <row r="9">
      <c r="A9" s="22"/>
      <c r="B9" s="1"/>
      <c r="C9" s="1"/>
      <c r="D9" s="31"/>
      <c r="E9" s="32" t="s">
        <v>38</v>
      </c>
      <c r="F9" s="41" t="s">
        <v>39</v>
      </c>
      <c r="G9" s="34">
        <v>7.0</v>
      </c>
      <c r="H9" s="35">
        <f t="shared" si="3"/>
        <v>10.36</v>
      </c>
      <c r="I9" s="34">
        <v>5.0</v>
      </c>
      <c r="J9" s="35">
        <f t="shared" si="4"/>
        <v>7.4</v>
      </c>
      <c r="K9" s="34">
        <v>5.75</v>
      </c>
      <c r="L9" s="36">
        <v>0.0</v>
      </c>
      <c r="M9" s="37">
        <f>(G9+I9+5)*115/1000</f>
        <v>1.955</v>
      </c>
      <c r="N9" s="37">
        <f>(G9+I9+5)*1725/10000</f>
        <v>2.9325</v>
      </c>
      <c r="O9" s="38">
        <f t="shared" si="5"/>
        <v>1879.35</v>
      </c>
      <c r="P9" s="39"/>
      <c r="Q9" s="1"/>
      <c r="R9" s="42"/>
      <c r="S9" s="43"/>
      <c r="U9" s="17" t="s">
        <v>40</v>
      </c>
      <c r="V9" s="19">
        <f t="shared" ref="V9:AB9" si="6">SUM(V4:V8)</f>
        <v>19.5</v>
      </c>
      <c r="W9" s="19">
        <f t="shared" si="6"/>
        <v>760.565</v>
      </c>
      <c r="X9" s="19">
        <f t="shared" si="6"/>
        <v>32.75</v>
      </c>
      <c r="Y9" s="19">
        <f t="shared" si="6"/>
        <v>812.815</v>
      </c>
      <c r="Z9" s="20">
        <f t="shared" si="6"/>
        <v>52548.35</v>
      </c>
      <c r="AA9" s="20">
        <f t="shared" si="6"/>
        <v>2191.25</v>
      </c>
      <c r="AB9" s="20">
        <f t="shared" si="6"/>
        <v>54739.6</v>
      </c>
    </row>
    <row r="10">
      <c r="A10" s="22"/>
      <c r="B10" s="1"/>
      <c r="C10" s="1"/>
      <c r="D10" s="31"/>
      <c r="E10" s="32" t="s">
        <v>41</v>
      </c>
      <c r="F10" s="41" t="s">
        <v>42</v>
      </c>
      <c r="G10" s="34">
        <v>5.0</v>
      </c>
      <c r="H10" s="35">
        <f t="shared" si="3"/>
        <v>7.4</v>
      </c>
      <c r="I10" s="34">
        <v>5.0</v>
      </c>
      <c r="J10" s="35">
        <f t="shared" si="4"/>
        <v>7.4</v>
      </c>
      <c r="K10" s="34">
        <v>3.4499999999999997</v>
      </c>
      <c r="L10" s="36">
        <v>0.0</v>
      </c>
      <c r="M10" s="37">
        <f>(G10+I10+3)*115/1000</f>
        <v>1.495</v>
      </c>
      <c r="N10" s="37">
        <f>(G10+I10+3)*1725/10000</f>
        <v>2.2425</v>
      </c>
      <c r="O10" s="38">
        <f t="shared" si="5"/>
        <v>1474.35</v>
      </c>
      <c r="P10" s="39"/>
      <c r="Q10" s="1"/>
      <c r="R10" s="42"/>
      <c r="S10" s="43"/>
    </row>
    <row r="11">
      <c r="A11" s="22"/>
      <c r="B11" s="1"/>
      <c r="C11" s="1"/>
      <c r="D11" s="31"/>
      <c r="E11" s="32" t="s">
        <v>43</v>
      </c>
      <c r="F11" s="41" t="s">
        <v>44</v>
      </c>
      <c r="G11" s="34">
        <v>6.0</v>
      </c>
      <c r="H11" s="35">
        <f t="shared" si="3"/>
        <v>8.88</v>
      </c>
      <c r="I11" s="34">
        <v>7.0</v>
      </c>
      <c r="J11" s="35">
        <f t="shared" si="4"/>
        <v>10.36</v>
      </c>
      <c r="K11" s="34">
        <v>4.6</v>
      </c>
      <c r="L11" s="36">
        <v>0.19999999999999973</v>
      </c>
      <c r="M11" s="37">
        <f>(G11+I11+4)*115/1000</f>
        <v>1.955</v>
      </c>
      <c r="N11" s="37">
        <f>(G11+I11+4)*1725/10000</f>
        <v>2.9325</v>
      </c>
      <c r="O11" s="38">
        <f t="shared" si="5"/>
        <v>1945.75</v>
      </c>
      <c r="P11" s="39"/>
      <c r="Q11" s="1"/>
      <c r="R11" s="42"/>
      <c r="S11" s="43"/>
    </row>
    <row r="12">
      <c r="A12" s="22"/>
      <c r="B12" s="1"/>
      <c r="C12" s="1"/>
      <c r="D12" s="31"/>
      <c r="E12" s="32" t="s">
        <v>45</v>
      </c>
      <c r="F12" s="41" t="s">
        <v>46</v>
      </c>
      <c r="G12" s="34">
        <v>3.0</v>
      </c>
      <c r="H12" s="35">
        <f t="shared" si="3"/>
        <v>4.44</v>
      </c>
      <c r="I12" s="34">
        <v>4.0</v>
      </c>
      <c r="J12" s="35">
        <f t="shared" si="4"/>
        <v>5.92</v>
      </c>
      <c r="K12" s="34">
        <v>2.3</v>
      </c>
      <c r="L12" s="36">
        <v>0.0</v>
      </c>
      <c r="M12" s="37">
        <f>(G12+I12+2)*115/1000</f>
        <v>1.035</v>
      </c>
      <c r="N12" s="37">
        <f>(G12+I12+2)*1725/10000</f>
        <v>1.5525</v>
      </c>
      <c r="O12" s="38">
        <f t="shared" si="5"/>
        <v>1027.35</v>
      </c>
      <c r="P12" s="39"/>
      <c r="Q12" s="1"/>
      <c r="R12" s="42"/>
      <c r="S12" s="43"/>
    </row>
    <row r="13">
      <c r="A13" s="22"/>
      <c r="B13" s="1"/>
      <c r="C13" s="1"/>
      <c r="D13" s="31"/>
      <c r="E13" s="32" t="s">
        <v>47</v>
      </c>
      <c r="F13" s="41" t="s">
        <v>48</v>
      </c>
      <c r="G13" s="34">
        <v>2.0</v>
      </c>
      <c r="H13" s="35">
        <f t="shared" si="3"/>
        <v>2.96</v>
      </c>
      <c r="I13" s="34">
        <v>2.0</v>
      </c>
      <c r="J13" s="35">
        <f t="shared" si="4"/>
        <v>2.96</v>
      </c>
      <c r="K13" s="34">
        <v>1.15</v>
      </c>
      <c r="L13" s="36">
        <v>0.0</v>
      </c>
      <c r="M13" s="37">
        <f>(G13+I13+1)*115/1000</f>
        <v>0.575</v>
      </c>
      <c r="N13" s="37">
        <f>(G13+I13+1)*1725/10000</f>
        <v>0.8625</v>
      </c>
      <c r="O13" s="38">
        <f t="shared" si="5"/>
        <v>572.95</v>
      </c>
      <c r="P13" s="39"/>
      <c r="Q13" s="1"/>
      <c r="R13" s="17"/>
      <c r="S13" s="43"/>
    </row>
    <row r="14" ht="33.0" customHeight="1">
      <c r="A14" s="22"/>
      <c r="B14" s="1"/>
      <c r="C14" s="1"/>
      <c r="D14" s="31"/>
      <c r="E14" s="32" t="s">
        <v>49</v>
      </c>
      <c r="F14" s="41" t="s">
        <v>50</v>
      </c>
      <c r="G14" s="34">
        <v>4.0</v>
      </c>
      <c r="H14" s="35">
        <f t="shared" si="3"/>
        <v>5.92</v>
      </c>
      <c r="I14" s="34">
        <v>4.0</v>
      </c>
      <c r="J14" s="35">
        <f t="shared" si="4"/>
        <v>5.92</v>
      </c>
      <c r="K14" s="34">
        <v>2.3</v>
      </c>
      <c r="L14" s="36">
        <v>0.0</v>
      </c>
      <c r="M14" s="37">
        <f>((G14+I14+2)*115/1000)-280000/1000000</f>
        <v>0.87</v>
      </c>
      <c r="N14" s="37">
        <f>((G14+I14+2)*1725/10000)-620000/1000000</f>
        <v>1.105</v>
      </c>
      <c r="O14" s="38">
        <f t="shared" si="5"/>
        <v>1099.5</v>
      </c>
      <c r="P14" s="39"/>
      <c r="Q14" s="1"/>
      <c r="R14" s="17"/>
      <c r="S14" s="43"/>
      <c r="U14" s="44" t="s">
        <v>51</v>
      </c>
      <c r="V14" s="44" t="s">
        <v>52</v>
      </c>
      <c r="W14" s="44" t="s">
        <v>53</v>
      </c>
      <c r="X14" s="44" t="s">
        <v>54</v>
      </c>
      <c r="Y14" s="44" t="s">
        <v>55</v>
      </c>
      <c r="Z14" s="44" t="s">
        <v>56</v>
      </c>
      <c r="AA14" s="44" t="s">
        <v>57</v>
      </c>
      <c r="AB14" s="44" t="s">
        <v>58</v>
      </c>
      <c r="AC14" s="44" t="s">
        <v>59</v>
      </c>
    </row>
    <row r="15" ht="33.0" customHeight="1">
      <c r="A15" s="22"/>
      <c r="B15" s="1"/>
      <c r="C15" s="1"/>
      <c r="D15" s="31"/>
      <c r="E15" s="32" t="s">
        <v>60</v>
      </c>
      <c r="F15" s="41" t="s">
        <v>61</v>
      </c>
      <c r="G15" s="34">
        <v>3.0</v>
      </c>
      <c r="H15" s="35">
        <f t="shared" si="3"/>
        <v>4.44</v>
      </c>
      <c r="I15" s="34">
        <v>3.0</v>
      </c>
      <c r="J15" s="35">
        <f>(IF(I15="","",I15*(1+10%+20%+15%*(1+20%))))-1250000/1000000</f>
        <v>3.19</v>
      </c>
      <c r="K15" s="34">
        <v>2.3</v>
      </c>
      <c r="L15" s="36">
        <v>0.0</v>
      </c>
      <c r="M15" s="37">
        <f>((G15+I15+2)*115/1000)-920000/1000000</f>
        <v>0</v>
      </c>
      <c r="N15" s="37">
        <f>((G15+I15+2)*1725/10000)-1380000/1000000</f>
        <v>0</v>
      </c>
      <c r="O15" s="38">
        <f t="shared" si="5"/>
        <v>688.05</v>
      </c>
      <c r="P15" s="39"/>
      <c r="Q15" s="1"/>
      <c r="R15" s="17"/>
      <c r="S15" s="43"/>
      <c r="U15" s="45" t="s">
        <v>24</v>
      </c>
      <c r="V15" s="45" t="s">
        <v>62</v>
      </c>
      <c r="W15" s="46">
        <f>SUM(G6:G15)*10%</f>
        <v>4.4</v>
      </c>
      <c r="X15" s="46">
        <f>SUM(I6:I15)*5%</f>
        <v>2.2</v>
      </c>
      <c r="Y15" s="46">
        <f>SUM(K6:K15)/115%*25%</f>
        <v>7.5</v>
      </c>
      <c r="Z15" s="47">
        <v>0.0</v>
      </c>
      <c r="AA15" s="46">
        <f>(SUM(G6:G15)+SUM(I6:I15))*5%</f>
        <v>4.4</v>
      </c>
      <c r="AB15" s="47">
        <v>3.0</v>
      </c>
      <c r="AC15" s="46">
        <f t="shared" ref="AC15:AC28" si="7">W15*$H$1+X15*$J$1+Y15*$K$1+Z15*$L$1+AA15*$M$1+AB15*$N$1</f>
        <v>1315</v>
      </c>
    </row>
    <row r="16" ht="33.0" customHeight="1">
      <c r="A16" s="22"/>
      <c r="B16" s="23"/>
      <c r="C16" s="24" t="s">
        <v>63</v>
      </c>
      <c r="D16" s="23"/>
      <c r="E16" s="48"/>
      <c r="F16" s="23"/>
      <c r="G16" s="23"/>
      <c r="H16" s="49"/>
      <c r="I16" s="49"/>
      <c r="J16" s="49"/>
      <c r="K16" s="49"/>
      <c r="L16" s="49"/>
      <c r="M16" s="49"/>
      <c r="N16" s="50"/>
      <c r="O16" s="27">
        <f>SUM(O17:O26)</f>
        <v>11140</v>
      </c>
      <c r="P16" s="28">
        <f>SUM(AC17:AC18)</f>
        <v>2459.25</v>
      </c>
      <c r="Q16" s="1"/>
      <c r="R16" s="51" t="s">
        <v>64</v>
      </c>
      <c r="S16" s="52">
        <f>SUM(H17:H26)+SUM(J17:J26)+SUM(K17:K26)+SUM(L17:L26)+SUM(M17:M26)+SUM(N17:N26)</f>
        <v>165.1125</v>
      </c>
      <c r="U16" s="45" t="s">
        <v>24</v>
      </c>
      <c r="V16" s="45" t="s">
        <v>65</v>
      </c>
      <c r="W16" s="46">
        <f>SUM(G6:G15)*10%</f>
        <v>4.4</v>
      </c>
      <c r="X16" s="46">
        <f>SUM(I6:I15)*20%</f>
        <v>8.8</v>
      </c>
      <c r="Y16" s="47">
        <v>0.0</v>
      </c>
      <c r="Z16" s="47">
        <v>0.0</v>
      </c>
      <c r="AA16" s="46">
        <f>(SUM(G6:G15)+SUM(I6:I15))*10%</f>
        <v>8.8</v>
      </c>
      <c r="AB16" s="47">
        <v>2.0</v>
      </c>
      <c r="AC16" s="46">
        <f t="shared" si="7"/>
        <v>1552</v>
      </c>
    </row>
    <row r="17" ht="33.0" customHeight="1">
      <c r="A17" s="22"/>
      <c r="B17" s="1"/>
      <c r="C17" s="1"/>
      <c r="D17" s="1"/>
      <c r="E17" s="32" t="s">
        <v>66</v>
      </c>
      <c r="F17" s="41" t="s">
        <v>67</v>
      </c>
      <c r="G17" s="34">
        <v>3.0</v>
      </c>
      <c r="H17" s="35">
        <f t="shared" ref="H17:H26" si="8">IF(G17="","",G17*(1+10%+20%+15%*(1+20%)))</f>
        <v>4.44</v>
      </c>
      <c r="I17" s="34">
        <v>4.0</v>
      </c>
      <c r="J17" s="35">
        <f t="shared" ref="J17:J25" si="9">IF(I17="","",I17*(1+10%+20%+15%*(1+20%)))</f>
        <v>5.92</v>
      </c>
      <c r="K17" s="34">
        <v>2.3</v>
      </c>
      <c r="L17" s="36">
        <v>1.15</v>
      </c>
      <c r="M17" s="37">
        <f>(G17+I17+2)*115/1000</f>
        <v>1.035</v>
      </c>
      <c r="N17" s="37">
        <f>(G17+I17+2)*1725/10000</f>
        <v>1.5525</v>
      </c>
      <c r="O17" s="38">
        <f t="shared" ref="O17:O26" si="10">H17*H$1+J17*J$1+K17*K$1+L17*L$1+M17*M$1+N17*N$1</f>
        <v>1125.1</v>
      </c>
      <c r="P17" s="39"/>
      <c r="Q17" s="1"/>
      <c r="U17" s="45" t="s">
        <v>28</v>
      </c>
      <c r="V17" s="45" t="s">
        <v>62</v>
      </c>
      <c r="W17" s="46">
        <f>SUM(G17:G26)*10%</f>
        <v>3.7</v>
      </c>
      <c r="X17" s="46">
        <f>SUM(I17:I26)*5%</f>
        <v>1.9</v>
      </c>
      <c r="Y17" s="46">
        <f>SUM(K17:K26)/115%*25%</f>
        <v>6</v>
      </c>
      <c r="Z17" s="47">
        <v>0.0</v>
      </c>
      <c r="AA17" s="46">
        <f>(SUM(G17:G26)+SUM(I17:I26))*5%</f>
        <v>3.75</v>
      </c>
      <c r="AB17" s="47">
        <v>3.0</v>
      </c>
      <c r="AC17" s="46">
        <f t="shared" si="7"/>
        <v>1117.75</v>
      </c>
    </row>
    <row r="18" ht="33.0" customHeight="1">
      <c r="A18" s="22"/>
      <c r="B18" s="1"/>
      <c r="C18" s="1"/>
      <c r="D18" s="1"/>
      <c r="E18" s="32" t="s">
        <v>32</v>
      </c>
      <c r="F18" s="41" t="s">
        <v>68</v>
      </c>
      <c r="G18" s="34">
        <v>2.0</v>
      </c>
      <c r="H18" s="35">
        <f t="shared" si="8"/>
        <v>2.96</v>
      </c>
      <c r="I18" s="34">
        <v>2.0</v>
      </c>
      <c r="J18" s="35">
        <f t="shared" si="9"/>
        <v>2.96</v>
      </c>
      <c r="K18" s="34">
        <v>1.15</v>
      </c>
      <c r="L18" s="36">
        <v>0.0</v>
      </c>
      <c r="M18" s="37">
        <f>(G18+I18+1)*115/1000</f>
        <v>0.575</v>
      </c>
      <c r="N18" s="37">
        <f>(G18+I18+1)*1725/10000</f>
        <v>0.8625</v>
      </c>
      <c r="O18" s="38">
        <f t="shared" si="10"/>
        <v>572.95</v>
      </c>
      <c r="P18" s="39"/>
      <c r="Q18" s="1"/>
      <c r="U18" s="45" t="s">
        <v>28</v>
      </c>
      <c r="V18" s="45" t="s">
        <v>65</v>
      </c>
      <c r="W18" s="46">
        <f>SUM(G17:G26)*10%</f>
        <v>3.7</v>
      </c>
      <c r="X18" s="46">
        <f>SUM(I17:I26)*20%</f>
        <v>7.6</v>
      </c>
      <c r="Y18" s="47">
        <v>0.0</v>
      </c>
      <c r="Z18" s="47">
        <v>0.0</v>
      </c>
      <c r="AA18" s="46">
        <f>(SUM(G17:G26)+SUM(I17:I26))*10%</f>
        <v>7.5</v>
      </c>
      <c r="AB18" s="47">
        <v>2.0</v>
      </c>
      <c r="AC18" s="46">
        <f t="shared" si="7"/>
        <v>1341.5</v>
      </c>
    </row>
    <row r="19" ht="33.0" customHeight="1">
      <c r="A19" s="22"/>
      <c r="B19" s="1"/>
      <c r="C19" s="1"/>
      <c r="D19" s="1"/>
      <c r="E19" s="32" t="s">
        <v>69</v>
      </c>
      <c r="F19" s="41" t="s">
        <v>70</v>
      </c>
      <c r="G19" s="34">
        <v>5.0</v>
      </c>
      <c r="H19" s="35">
        <f t="shared" si="8"/>
        <v>7.4</v>
      </c>
      <c r="I19" s="34">
        <v>5.0</v>
      </c>
      <c r="J19" s="35">
        <f t="shared" si="9"/>
        <v>7.4</v>
      </c>
      <c r="K19" s="34">
        <v>3.4499999999999997</v>
      </c>
      <c r="L19" s="36">
        <v>1.15</v>
      </c>
      <c r="M19" s="37">
        <f>(G19+I19+3)*115/1000</f>
        <v>1.495</v>
      </c>
      <c r="N19" s="37">
        <f>(G19+I19+3)*1725/10000</f>
        <v>2.2425</v>
      </c>
      <c r="O19" s="38">
        <f t="shared" si="10"/>
        <v>1572.1</v>
      </c>
      <c r="P19" s="39"/>
      <c r="Q19" s="1"/>
      <c r="U19" s="45" t="s">
        <v>31</v>
      </c>
      <c r="V19" s="45" t="s">
        <v>62</v>
      </c>
      <c r="W19" s="46">
        <f>SUM(G28:G37)*10%</f>
        <v>3.3</v>
      </c>
      <c r="X19" s="46">
        <f>SUM(I28:I37)*5%</f>
        <v>1.7</v>
      </c>
      <c r="Y19" s="46">
        <f>SUM(K28:K37)/115%*25%</f>
        <v>5.75</v>
      </c>
      <c r="Z19" s="47">
        <v>0.0</v>
      </c>
      <c r="AA19" s="46">
        <f>(SUM(G28:G37)+SUM(I28:I37))*5%</f>
        <v>3.35</v>
      </c>
      <c r="AB19" s="47">
        <v>3.0</v>
      </c>
      <c r="AC19" s="46">
        <f t="shared" si="7"/>
        <v>1037.75</v>
      </c>
    </row>
    <row r="20" ht="33.0" customHeight="1">
      <c r="A20" s="22"/>
      <c r="B20" s="1"/>
      <c r="C20" s="1"/>
      <c r="D20" s="1"/>
      <c r="E20" s="32" t="s">
        <v>71</v>
      </c>
      <c r="F20" s="41" t="s">
        <v>72</v>
      </c>
      <c r="G20" s="34">
        <v>4.0</v>
      </c>
      <c r="H20" s="35">
        <f t="shared" si="8"/>
        <v>5.92</v>
      </c>
      <c r="I20" s="34">
        <v>4.0</v>
      </c>
      <c r="J20" s="35">
        <f t="shared" si="9"/>
        <v>5.92</v>
      </c>
      <c r="K20" s="34">
        <v>2.3</v>
      </c>
      <c r="L20" s="36">
        <v>0.0</v>
      </c>
      <c r="M20" s="37">
        <f>(G20+I20+2)*115/1000</f>
        <v>1.15</v>
      </c>
      <c r="N20" s="37">
        <f>(G20+I20+2)*1725/10000</f>
        <v>1.725</v>
      </c>
      <c r="O20" s="38">
        <f t="shared" si="10"/>
        <v>1145.9</v>
      </c>
      <c r="P20" s="39"/>
      <c r="Q20" s="1"/>
      <c r="U20" s="45" t="s">
        <v>31</v>
      </c>
      <c r="V20" s="45" t="s">
        <v>65</v>
      </c>
      <c r="W20" s="46">
        <f>SUM(G28:G37)*10%</f>
        <v>3.3</v>
      </c>
      <c r="X20" s="46">
        <f>SUM(I28:I37)*20%</f>
        <v>6.8</v>
      </c>
      <c r="Y20" s="47">
        <v>0.0</v>
      </c>
      <c r="Z20" s="47">
        <v>0.0</v>
      </c>
      <c r="AA20" s="46">
        <f>(SUM(G28:G37)+SUM(I28:I37))*10%</f>
        <v>6.7</v>
      </c>
      <c r="AB20" s="47">
        <v>2.0</v>
      </c>
      <c r="AC20" s="46">
        <f t="shared" si="7"/>
        <v>1209.5</v>
      </c>
    </row>
    <row r="21" ht="33.0" customHeight="1">
      <c r="A21" s="22"/>
      <c r="B21" s="1"/>
      <c r="C21" s="1"/>
      <c r="D21" s="1"/>
      <c r="E21" s="32" t="s">
        <v>73</v>
      </c>
      <c r="F21" s="41" t="s">
        <v>74</v>
      </c>
      <c r="G21" s="34">
        <v>4.0</v>
      </c>
      <c r="H21" s="35">
        <f t="shared" si="8"/>
        <v>5.92</v>
      </c>
      <c r="I21" s="34">
        <v>4.0</v>
      </c>
      <c r="J21" s="35">
        <f t="shared" si="9"/>
        <v>5.92</v>
      </c>
      <c r="K21" s="34">
        <v>3.4499999999999997</v>
      </c>
      <c r="L21" s="36">
        <v>0.0</v>
      </c>
      <c r="M21" s="37">
        <f t="shared" ref="M21:M23" si="11">(G21+I21+3)*115/1000</f>
        <v>1.265</v>
      </c>
      <c r="N21" s="37">
        <f t="shared" ref="N21:N23" si="12">(G21+I21+3)*1725/10000</f>
        <v>1.8975</v>
      </c>
      <c r="O21" s="38">
        <f t="shared" si="10"/>
        <v>1229.85</v>
      </c>
      <c r="P21" s="39"/>
      <c r="Q21" s="1"/>
      <c r="U21" s="45" t="s">
        <v>34</v>
      </c>
      <c r="V21" s="45" t="s">
        <v>62</v>
      </c>
      <c r="W21" s="46">
        <f>SUM(G39:G48)*10%</f>
        <v>3.1</v>
      </c>
      <c r="X21" s="46">
        <f>SUM(I39:I48)*5%</f>
        <v>1.55</v>
      </c>
      <c r="Y21" s="46">
        <f>SUM(K39:K48)/115%*25%</f>
        <v>5</v>
      </c>
      <c r="Z21" s="47">
        <v>0.0</v>
      </c>
      <c r="AA21" s="46">
        <f>(SUM(G39:G48)+SUM(I39:I48))*5%</f>
        <v>3.1</v>
      </c>
      <c r="AB21" s="47">
        <v>3.0</v>
      </c>
      <c r="AC21" s="46">
        <f t="shared" si="7"/>
        <v>953.75</v>
      </c>
    </row>
    <row r="22" ht="33.0" customHeight="1">
      <c r="A22" s="22"/>
      <c r="B22" s="1"/>
      <c r="C22" s="1"/>
      <c r="D22" s="1"/>
      <c r="E22" s="32" t="s">
        <v>75</v>
      </c>
      <c r="F22" s="41" t="s">
        <v>76</v>
      </c>
      <c r="G22" s="34">
        <v>4.0</v>
      </c>
      <c r="H22" s="35">
        <f t="shared" si="8"/>
        <v>5.92</v>
      </c>
      <c r="I22" s="34">
        <v>5.0</v>
      </c>
      <c r="J22" s="35">
        <f t="shared" si="9"/>
        <v>7.4</v>
      </c>
      <c r="K22" s="34">
        <v>3.4499999999999997</v>
      </c>
      <c r="L22" s="36">
        <v>0.19999999999999973</v>
      </c>
      <c r="M22" s="37">
        <f t="shared" si="11"/>
        <v>1.38</v>
      </c>
      <c r="N22" s="37">
        <f t="shared" si="12"/>
        <v>2.07</v>
      </c>
      <c r="O22" s="38">
        <f t="shared" si="10"/>
        <v>1372.8</v>
      </c>
      <c r="P22" s="39"/>
      <c r="Q22" s="1"/>
      <c r="U22" s="45" t="s">
        <v>34</v>
      </c>
      <c r="V22" s="45" t="s">
        <v>65</v>
      </c>
      <c r="W22" s="46">
        <f>SUM(G39:G48)*10%</f>
        <v>3.1</v>
      </c>
      <c r="X22" s="46">
        <f>SUM(I39:I48)*20%</f>
        <v>6.2</v>
      </c>
      <c r="Y22" s="47">
        <v>0.0</v>
      </c>
      <c r="Z22" s="47">
        <v>0.0</v>
      </c>
      <c r="AA22" s="46">
        <f>(SUM(G39:G48)+SUM(I39:I48))*10%</f>
        <v>6.2</v>
      </c>
      <c r="AB22" s="47">
        <v>2.0</v>
      </c>
      <c r="AC22" s="46">
        <f t="shared" si="7"/>
        <v>1123</v>
      </c>
    </row>
    <row r="23" ht="33.0" customHeight="1">
      <c r="A23" s="22"/>
      <c r="B23" s="1"/>
      <c r="C23" s="1"/>
      <c r="D23" s="1"/>
      <c r="E23" s="32" t="s">
        <v>77</v>
      </c>
      <c r="F23" s="41" t="s">
        <v>78</v>
      </c>
      <c r="G23" s="34">
        <v>4.0</v>
      </c>
      <c r="H23" s="35">
        <f t="shared" si="8"/>
        <v>5.92</v>
      </c>
      <c r="I23" s="34">
        <v>4.0</v>
      </c>
      <c r="J23" s="35">
        <f t="shared" si="9"/>
        <v>5.92</v>
      </c>
      <c r="K23" s="34">
        <v>3.4499999999999997</v>
      </c>
      <c r="L23" s="36">
        <v>0.0</v>
      </c>
      <c r="M23" s="37">
        <f t="shared" si="11"/>
        <v>1.265</v>
      </c>
      <c r="N23" s="37">
        <f t="shared" si="12"/>
        <v>1.8975</v>
      </c>
      <c r="O23" s="38">
        <f t="shared" si="10"/>
        <v>1229.85</v>
      </c>
      <c r="P23" s="39"/>
      <c r="Q23" s="1"/>
      <c r="U23" s="45" t="s">
        <v>37</v>
      </c>
      <c r="V23" s="45" t="s">
        <v>62</v>
      </c>
      <c r="W23" s="46">
        <f>SUM(G50:G59)*10%</f>
        <v>3.1</v>
      </c>
      <c r="X23" s="46">
        <f>SUM(I50:I59)*5%</f>
        <v>1.5</v>
      </c>
      <c r="Y23" s="46">
        <f>SUM(K50:K59)/115%*25%</f>
        <v>5</v>
      </c>
      <c r="Z23" s="47">
        <v>0.0</v>
      </c>
      <c r="AA23" s="46">
        <f>(SUM(G50:G59)+SUM(I50:I59))*5%</f>
        <v>3.05</v>
      </c>
      <c r="AB23" s="47">
        <v>3.0</v>
      </c>
      <c r="AC23" s="46">
        <f t="shared" si="7"/>
        <v>947.25</v>
      </c>
    </row>
    <row r="24" ht="33.0" customHeight="1">
      <c r="A24" s="22"/>
      <c r="B24" s="1"/>
      <c r="C24" s="1"/>
      <c r="D24" s="1"/>
      <c r="E24" s="32" t="s">
        <v>79</v>
      </c>
      <c r="F24" s="41" t="s">
        <v>80</v>
      </c>
      <c r="G24" s="34">
        <v>3.0</v>
      </c>
      <c r="H24" s="35">
        <f t="shared" si="8"/>
        <v>4.44</v>
      </c>
      <c r="I24" s="34">
        <v>3.0</v>
      </c>
      <c r="J24" s="35">
        <f t="shared" si="9"/>
        <v>4.44</v>
      </c>
      <c r="K24" s="34">
        <v>2.3</v>
      </c>
      <c r="L24" s="36">
        <v>0.0</v>
      </c>
      <c r="M24" s="37">
        <f t="shared" ref="M24:M25" si="13">(G24+I24+2)*115/1000</f>
        <v>0.92</v>
      </c>
      <c r="N24" s="37">
        <f t="shared" ref="N24:N25" si="14">(G24+I24+2)*1725/10000</f>
        <v>1.38</v>
      </c>
      <c r="O24" s="38">
        <f t="shared" si="10"/>
        <v>901.4</v>
      </c>
      <c r="P24" s="39"/>
      <c r="Q24" s="1"/>
      <c r="U24" s="45" t="s">
        <v>37</v>
      </c>
      <c r="V24" s="45" t="s">
        <v>65</v>
      </c>
      <c r="W24" s="46">
        <f>SUM(G50:G59)*10%</f>
        <v>3.1</v>
      </c>
      <c r="X24" s="46">
        <f>SUM(I50:I59)*20%</f>
        <v>6</v>
      </c>
      <c r="Y24" s="47">
        <v>0.0</v>
      </c>
      <c r="Z24" s="47">
        <v>0.0</v>
      </c>
      <c r="AA24" s="46">
        <f>(SUM(G50:G59)+SUM(I50:I59))*10%</f>
        <v>6.1</v>
      </c>
      <c r="AB24" s="47">
        <v>2.0</v>
      </c>
      <c r="AC24" s="46">
        <f t="shared" si="7"/>
        <v>1102.5</v>
      </c>
    </row>
    <row r="25" ht="33.0" customHeight="1">
      <c r="A25" s="22"/>
      <c r="B25" s="1"/>
      <c r="C25" s="1"/>
      <c r="D25" s="1"/>
      <c r="E25" s="32" t="s">
        <v>81</v>
      </c>
      <c r="F25" s="41" t="s">
        <v>82</v>
      </c>
      <c r="G25" s="34">
        <v>3.0</v>
      </c>
      <c r="H25" s="35">
        <f t="shared" si="8"/>
        <v>4.44</v>
      </c>
      <c r="I25" s="34">
        <v>3.0</v>
      </c>
      <c r="J25" s="35">
        <f t="shared" si="9"/>
        <v>4.44</v>
      </c>
      <c r="K25" s="34">
        <v>2.3</v>
      </c>
      <c r="L25" s="36">
        <v>0.0</v>
      </c>
      <c r="M25" s="37">
        <f t="shared" si="13"/>
        <v>0.92</v>
      </c>
      <c r="N25" s="37">
        <f t="shared" si="14"/>
        <v>1.38</v>
      </c>
      <c r="O25" s="38">
        <f t="shared" si="10"/>
        <v>901.4</v>
      </c>
      <c r="P25" s="39"/>
      <c r="Q25" s="1"/>
      <c r="U25" s="45" t="s">
        <v>83</v>
      </c>
      <c r="V25" s="45" t="s">
        <v>84</v>
      </c>
      <c r="W25" s="47">
        <v>0.0</v>
      </c>
      <c r="X25" s="47">
        <v>8.0</v>
      </c>
      <c r="Y25" s="47">
        <v>0.0</v>
      </c>
      <c r="Z25" s="47">
        <v>4.0</v>
      </c>
      <c r="AA25" s="47">
        <v>4.0</v>
      </c>
      <c r="AB25" s="47">
        <v>2.0</v>
      </c>
      <c r="AC25" s="46">
        <f t="shared" si="7"/>
        <v>1260</v>
      </c>
    </row>
    <row r="26" ht="33.0" customHeight="1">
      <c r="A26" s="22"/>
      <c r="B26" s="1"/>
      <c r="C26" s="1"/>
      <c r="D26" s="1"/>
      <c r="E26" s="32" t="s">
        <v>85</v>
      </c>
      <c r="F26" s="41" t="s">
        <v>86</v>
      </c>
      <c r="G26" s="34">
        <v>5.0</v>
      </c>
      <c r="H26" s="35">
        <f t="shared" si="8"/>
        <v>7.4</v>
      </c>
      <c r="I26" s="34">
        <v>4.0</v>
      </c>
      <c r="J26" s="35">
        <f>(IF(I26="","",I26*(1+10%+20%+15%*(1+20%))))-1250000/1000000</f>
        <v>4.67</v>
      </c>
      <c r="K26" s="34">
        <v>3.4499999999999997</v>
      </c>
      <c r="L26" s="36">
        <v>0.0</v>
      </c>
      <c r="M26" s="37">
        <f>((G26+I26+3)*115/1000)-1200000/1000000</f>
        <v>0.18</v>
      </c>
      <c r="N26" s="37">
        <f>((G26+I26+3)*1725/10000)-2000000/1000000</f>
        <v>0.07</v>
      </c>
      <c r="O26" s="38">
        <f t="shared" si="10"/>
        <v>1088.65</v>
      </c>
      <c r="P26" s="39"/>
      <c r="Q26" s="1"/>
      <c r="U26" s="45" t="s">
        <v>83</v>
      </c>
      <c r="V26" s="45" t="s">
        <v>87</v>
      </c>
      <c r="W26" s="47">
        <v>0.0</v>
      </c>
      <c r="X26" s="47">
        <v>16.0</v>
      </c>
      <c r="Y26" s="47">
        <v>0.0</v>
      </c>
      <c r="Z26" s="47">
        <v>0.0</v>
      </c>
      <c r="AA26" s="47">
        <v>0.0</v>
      </c>
      <c r="AB26" s="47">
        <v>4.0</v>
      </c>
      <c r="AC26" s="46">
        <f t="shared" si="7"/>
        <v>1400</v>
      </c>
    </row>
    <row r="27" ht="33.0" customHeight="1">
      <c r="A27" s="22"/>
      <c r="B27" s="23"/>
      <c r="C27" s="24" t="s">
        <v>88</v>
      </c>
      <c r="D27" s="23"/>
      <c r="E27" s="48"/>
      <c r="F27" s="23"/>
      <c r="G27" s="23"/>
      <c r="H27" s="49"/>
      <c r="I27" s="49"/>
      <c r="J27" s="49"/>
      <c r="K27" s="49"/>
      <c r="L27" s="49"/>
      <c r="M27" s="49"/>
      <c r="N27" s="50"/>
      <c r="O27" s="27">
        <f>SUM(O28:O37)</f>
        <v>10078.05</v>
      </c>
      <c r="P27" s="28">
        <f>SUM(AC19:AC20)</f>
        <v>2247.25</v>
      </c>
      <c r="Q27" s="1"/>
      <c r="R27" s="51" t="s">
        <v>89</v>
      </c>
      <c r="S27" s="52">
        <f>SUM(H28:H37)+SUM(J28:J37)+SUM(K28:K37)+SUM(L28:L37)+SUM(M28:M37)+SUM(N28:N37)</f>
        <v>149.535</v>
      </c>
      <c r="U27" s="45" t="s">
        <v>83</v>
      </c>
      <c r="V27" s="45" t="s">
        <v>90</v>
      </c>
      <c r="W27" s="47">
        <v>0.0</v>
      </c>
      <c r="X27" s="47">
        <v>4.0</v>
      </c>
      <c r="Y27" s="47">
        <v>0.0</v>
      </c>
      <c r="Z27" s="47">
        <v>4.0</v>
      </c>
      <c r="AA27" s="47">
        <v>2.0</v>
      </c>
      <c r="AB27" s="47">
        <v>1.0</v>
      </c>
      <c r="AC27" s="46">
        <f t="shared" si="7"/>
        <v>800</v>
      </c>
    </row>
    <row r="28" ht="33.0" customHeight="1">
      <c r="A28" s="22"/>
      <c r="B28" s="1"/>
      <c r="C28" s="1"/>
      <c r="D28" s="1"/>
      <c r="E28" s="32" t="s">
        <v>66</v>
      </c>
      <c r="F28" s="41" t="s">
        <v>67</v>
      </c>
      <c r="G28" s="34">
        <v>3.0</v>
      </c>
      <c r="H28" s="35">
        <f t="shared" ref="H28:H37" si="15">IF(G28="","",G28*(1+10%+20%+15%*(1+20%)))</f>
        <v>4.44</v>
      </c>
      <c r="I28" s="34">
        <v>4.0</v>
      </c>
      <c r="J28" s="35">
        <f t="shared" ref="J28:J36" si="16">IF(I28="","",I28*(1+10%+20%+15%*(1+20%)))</f>
        <v>5.92</v>
      </c>
      <c r="K28" s="34">
        <v>2.3</v>
      </c>
      <c r="L28" s="36">
        <v>1.15</v>
      </c>
      <c r="M28" s="37">
        <f>(G28+I28+2)*115/1000</f>
        <v>1.035</v>
      </c>
      <c r="N28" s="37">
        <f>(G28+I28+2)*1725/10000</f>
        <v>1.5525</v>
      </c>
      <c r="O28" s="38">
        <f t="shared" ref="O28:O37" si="17">H28*H$1+J28*J$1+K28*K$1+L28*L$1+M28*M$1+N28*N$1</f>
        <v>1125.1</v>
      </c>
      <c r="P28" s="39"/>
      <c r="Q28" s="1"/>
      <c r="U28" s="45" t="s">
        <v>83</v>
      </c>
      <c r="V28" s="45" t="s">
        <v>91</v>
      </c>
      <c r="W28" s="47">
        <v>0.0</v>
      </c>
      <c r="X28" s="47">
        <v>0.0</v>
      </c>
      <c r="Y28" s="47">
        <v>0.0</v>
      </c>
      <c r="Z28" s="47">
        <v>0.0</v>
      </c>
      <c r="AA28" s="47">
        <v>0.0</v>
      </c>
      <c r="AB28" s="47">
        <v>2.0</v>
      </c>
      <c r="AC28" s="46">
        <f t="shared" si="7"/>
        <v>100</v>
      </c>
    </row>
    <row r="29" ht="33.0" customHeight="1">
      <c r="A29" s="22"/>
      <c r="B29" s="1"/>
      <c r="C29" s="1"/>
      <c r="D29" s="1"/>
      <c r="E29" s="32" t="s">
        <v>32</v>
      </c>
      <c r="F29" s="41" t="s">
        <v>68</v>
      </c>
      <c r="G29" s="34">
        <v>2.0</v>
      </c>
      <c r="H29" s="35">
        <f t="shared" si="15"/>
        <v>2.96</v>
      </c>
      <c r="I29" s="34">
        <v>2.0</v>
      </c>
      <c r="J29" s="35">
        <f t="shared" si="16"/>
        <v>2.96</v>
      </c>
      <c r="K29" s="34">
        <v>1.15</v>
      </c>
      <c r="L29" s="36">
        <v>0.0</v>
      </c>
      <c r="M29" s="37">
        <f>(G29+I29+1)*115/1000</f>
        <v>0.575</v>
      </c>
      <c r="N29" s="37">
        <f>(G29+I29+1)*1725/10000</f>
        <v>0.8625</v>
      </c>
      <c r="O29" s="38">
        <f t="shared" si="17"/>
        <v>572.95</v>
      </c>
      <c r="P29" s="39"/>
      <c r="Q29" s="1"/>
      <c r="U29" s="44" t="s">
        <v>92</v>
      </c>
      <c r="V29" s="44" t="s">
        <v>93</v>
      </c>
      <c r="W29" s="53">
        <f t="shared" ref="W29:AC29" si="18">SUM(W15:W28)</f>
        <v>35.2</v>
      </c>
      <c r="X29" s="53">
        <f t="shared" si="18"/>
        <v>72.25</v>
      </c>
      <c r="Y29" s="53">
        <f t="shared" si="18"/>
        <v>29.25</v>
      </c>
      <c r="Z29" s="53">
        <f t="shared" si="18"/>
        <v>8</v>
      </c>
      <c r="AA29" s="53">
        <f t="shared" si="18"/>
        <v>58.95</v>
      </c>
      <c r="AB29" s="53">
        <f t="shared" si="18"/>
        <v>34</v>
      </c>
      <c r="AC29" s="53">
        <f t="shared" si="18"/>
        <v>15260</v>
      </c>
    </row>
    <row r="30">
      <c r="A30" s="22"/>
      <c r="B30" s="1"/>
      <c r="C30" s="1"/>
      <c r="D30" s="1"/>
      <c r="E30" s="32" t="s">
        <v>94</v>
      </c>
      <c r="F30" s="41" t="s">
        <v>95</v>
      </c>
      <c r="G30" s="34">
        <v>4.0</v>
      </c>
      <c r="H30" s="35">
        <f t="shared" si="15"/>
        <v>5.92</v>
      </c>
      <c r="I30" s="34">
        <v>4.0</v>
      </c>
      <c r="J30" s="35">
        <f t="shared" si="16"/>
        <v>5.92</v>
      </c>
      <c r="K30" s="34">
        <v>3.4499999999999997</v>
      </c>
      <c r="L30" s="36">
        <v>1.15</v>
      </c>
      <c r="M30" s="37">
        <f>(G30+I30+3)*115/1000</f>
        <v>1.265</v>
      </c>
      <c r="N30" s="37">
        <f>(G30+I30+3)*1725/10000</f>
        <v>1.8975</v>
      </c>
      <c r="O30" s="38">
        <f t="shared" si="17"/>
        <v>1327.6</v>
      </c>
      <c r="P30" s="39"/>
      <c r="Q30" s="1"/>
    </row>
    <row r="31">
      <c r="A31" s="22"/>
      <c r="B31" s="1"/>
      <c r="C31" s="1"/>
      <c r="D31" s="1"/>
      <c r="E31" s="32" t="s">
        <v>96</v>
      </c>
      <c r="F31" s="41" t="s">
        <v>97</v>
      </c>
      <c r="G31" s="34">
        <v>3.0</v>
      </c>
      <c r="H31" s="35">
        <f t="shared" si="15"/>
        <v>4.44</v>
      </c>
      <c r="I31" s="34">
        <v>3.0</v>
      </c>
      <c r="J31" s="35">
        <f t="shared" si="16"/>
        <v>4.44</v>
      </c>
      <c r="K31" s="34">
        <v>2.3</v>
      </c>
      <c r="L31" s="36">
        <v>0.0</v>
      </c>
      <c r="M31" s="37">
        <f>(G31+I31+2)*115/1000</f>
        <v>0.92</v>
      </c>
      <c r="N31" s="37">
        <f>(G31+I31+2)*1725/10000</f>
        <v>1.38</v>
      </c>
      <c r="O31" s="38">
        <f t="shared" si="17"/>
        <v>901.4</v>
      </c>
      <c r="P31" s="39"/>
      <c r="Q31" s="1"/>
      <c r="U31" s="54" t="s">
        <v>98</v>
      </c>
    </row>
    <row r="32">
      <c r="A32" s="22"/>
      <c r="B32" s="1"/>
      <c r="C32" s="1"/>
      <c r="D32" s="1"/>
      <c r="E32" s="32" t="s">
        <v>99</v>
      </c>
      <c r="F32" s="41" t="s">
        <v>100</v>
      </c>
      <c r="G32" s="34">
        <v>4.0</v>
      </c>
      <c r="H32" s="35">
        <f t="shared" si="15"/>
        <v>5.92</v>
      </c>
      <c r="I32" s="34">
        <v>4.0</v>
      </c>
      <c r="J32" s="35">
        <f t="shared" si="16"/>
        <v>5.92</v>
      </c>
      <c r="K32" s="34">
        <v>3.4499999999999997</v>
      </c>
      <c r="L32" s="36">
        <v>0.19999999999999973</v>
      </c>
      <c r="M32" s="37">
        <f t="shared" ref="M32:M33" si="19">(G32+I32+3)*115/1000</f>
        <v>1.265</v>
      </c>
      <c r="N32" s="37">
        <f t="shared" ref="N32:N33" si="20">(G32+I32+3)*1725/10000</f>
        <v>1.8975</v>
      </c>
      <c r="O32" s="38">
        <f t="shared" si="17"/>
        <v>1246.85</v>
      </c>
      <c r="P32" s="39"/>
      <c r="Q32" s="1"/>
    </row>
    <row r="33">
      <c r="A33" s="22"/>
      <c r="B33" s="1"/>
      <c r="C33" s="1"/>
      <c r="D33" s="1"/>
      <c r="E33" s="32" t="s">
        <v>101</v>
      </c>
      <c r="F33" s="41" t="s">
        <v>102</v>
      </c>
      <c r="G33" s="34">
        <v>4.0</v>
      </c>
      <c r="H33" s="35">
        <f t="shared" si="15"/>
        <v>5.92</v>
      </c>
      <c r="I33" s="34">
        <v>4.0</v>
      </c>
      <c r="J33" s="35">
        <f t="shared" si="16"/>
        <v>5.92</v>
      </c>
      <c r="K33" s="34">
        <v>3.4499999999999997</v>
      </c>
      <c r="L33" s="36">
        <v>0.0</v>
      </c>
      <c r="M33" s="37">
        <f t="shared" si="19"/>
        <v>1.265</v>
      </c>
      <c r="N33" s="37">
        <f t="shared" si="20"/>
        <v>1.8975</v>
      </c>
      <c r="O33" s="38">
        <f t="shared" si="17"/>
        <v>1229.85</v>
      </c>
      <c r="P33" s="39"/>
      <c r="Q33" s="1"/>
    </row>
    <row r="34">
      <c r="A34" s="22"/>
      <c r="B34" s="1"/>
      <c r="C34" s="1"/>
      <c r="D34" s="1"/>
      <c r="E34" s="32" t="s">
        <v>103</v>
      </c>
      <c r="F34" s="41" t="s">
        <v>104</v>
      </c>
      <c r="G34" s="34">
        <v>3.0</v>
      </c>
      <c r="H34" s="35">
        <f t="shared" si="15"/>
        <v>4.44</v>
      </c>
      <c r="I34" s="34">
        <v>3.0</v>
      </c>
      <c r="J34" s="35">
        <f t="shared" si="16"/>
        <v>4.44</v>
      </c>
      <c r="K34" s="34">
        <v>2.3</v>
      </c>
      <c r="L34" s="36">
        <v>0.0</v>
      </c>
      <c r="M34" s="37">
        <f>(G34+I34+2)*115/1000</f>
        <v>0.92</v>
      </c>
      <c r="N34" s="37">
        <f>(G34+I34+2)*1725/10000</f>
        <v>1.38</v>
      </c>
      <c r="O34" s="38">
        <f t="shared" si="17"/>
        <v>901.4</v>
      </c>
      <c r="P34" s="39"/>
      <c r="Q34" s="1"/>
    </row>
    <row r="35">
      <c r="A35" s="22"/>
      <c r="B35" s="1"/>
      <c r="C35" s="1"/>
      <c r="D35" s="1"/>
      <c r="E35" s="32" t="s">
        <v>105</v>
      </c>
      <c r="F35" s="41" t="s">
        <v>106</v>
      </c>
      <c r="G35" s="34">
        <v>4.0</v>
      </c>
      <c r="H35" s="35">
        <f t="shared" si="15"/>
        <v>5.92</v>
      </c>
      <c r="I35" s="34">
        <v>4.0</v>
      </c>
      <c r="J35" s="35">
        <f t="shared" si="16"/>
        <v>5.92</v>
      </c>
      <c r="K35" s="34">
        <v>3.4499999999999997</v>
      </c>
      <c r="L35" s="36">
        <v>0.0</v>
      </c>
      <c r="M35" s="37">
        <f>(G35+I35+3)*115/1000</f>
        <v>1.265</v>
      </c>
      <c r="N35" s="37">
        <f>(G35+I35+3)*1725/10000</f>
        <v>1.8975</v>
      </c>
      <c r="O35" s="38">
        <f t="shared" si="17"/>
        <v>1229.85</v>
      </c>
      <c r="P35" s="39"/>
      <c r="Q35" s="1"/>
    </row>
    <row r="36">
      <c r="A36" s="22"/>
      <c r="B36" s="1"/>
      <c r="C36" s="1"/>
      <c r="D36" s="1"/>
      <c r="E36" s="32" t="s">
        <v>107</v>
      </c>
      <c r="F36" s="41" t="s">
        <v>108</v>
      </c>
      <c r="G36" s="34">
        <v>4.0</v>
      </c>
      <c r="H36" s="35">
        <f t="shared" si="15"/>
        <v>5.92</v>
      </c>
      <c r="I36" s="34">
        <v>4.0</v>
      </c>
      <c r="J36" s="35">
        <f t="shared" si="16"/>
        <v>5.92</v>
      </c>
      <c r="K36" s="34">
        <v>3.4499999999999997</v>
      </c>
      <c r="L36" s="36">
        <v>0.0</v>
      </c>
      <c r="M36" s="37">
        <f>((G36+I36+3)*115/1000)-625000/1000000</f>
        <v>0.64</v>
      </c>
      <c r="N36" s="37">
        <f>((G36+I36+3)*1725/10000)-1137500/1000000</f>
        <v>0.76</v>
      </c>
      <c r="O36" s="38">
        <f t="shared" si="17"/>
        <v>1138.6</v>
      </c>
      <c r="P36" s="39"/>
      <c r="Q36" s="1"/>
    </row>
    <row r="37">
      <c r="A37" s="22"/>
      <c r="B37" s="1"/>
      <c r="C37" s="1"/>
      <c r="D37" s="1"/>
      <c r="E37" s="32" t="s">
        <v>60</v>
      </c>
      <c r="F37" s="41" t="s">
        <v>109</v>
      </c>
      <c r="G37" s="34">
        <v>2.0</v>
      </c>
      <c r="H37" s="35">
        <f t="shared" si="15"/>
        <v>2.96</v>
      </c>
      <c r="I37" s="34">
        <v>2.0</v>
      </c>
      <c r="J37" s="35">
        <f>(IF(I37="","",I37*(1+10%+20%+15%*(1+20%))))-1250000/1000000</f>
        <v>1.71</v>
      </c>
      <c r="K37" s="34">
        <v>1.15</v>
      </c>
      <c r="L37" s="36">
        <v>0.0</v>
      </c>
      <c r="M37" s="37">
        <f>((G37+I37+1)*115/1000)-575000/1000000</f>
        <v>0</v>
      </c>
      <c r="N37" s="37">
        <f>((G37+I37+1)*1725/10000)-862500/1000000</f>
        <v>0</v>
      </c>
      <c r="O37" s="38">
        <f t="shared" si="17"/>
        <v>404.45</v>
      </c>
      <c r="P37" s="39"/>
      <c r="Q37" s="1"/>
    </row>
    <row r="38">
      <c r="A38" s="22"/>
      <c r="B38" s="23"/>
      <c r="C38" s="24" t="s">
        <v>34</v>
      </c>
      <c r="D38" s="23"/>
      <c r="E38" s="48"/>
      <c r="F38" s="23"/>
      <c r="G38" s="23"/>
      <c r="H38" s="49"/>
      <c r="I38" s="49"/>
      <c r="J38" s="49"/>
      <c r="K38" s="49"/>
      <c r="L38" s="49"/>
      <c r="M38" s="49"/>
      <c r="N38" s="50"/>
      <c r="O38" s="27">
        <f>SUM(O39:O48)</f>
        <v>9113.5</v>
      </c>
      <c r="P38" s="28">
        <f>SUM(AC21:AC22)</f>
        <v>2076.75</v>
      </c>
      <c r="Q38" s="1"/>
      <c r="R38" s="51" t="s">
        <v>110</v>
      </c>
      <c r="S38" s="52">
        <f>SUM(H39:H48)+SUM(J39:J48)+SUM(K39:K48)+SUM(L39:L48)+SUM(M39:M48)+SUM(N39:N48)</f>
        <v>135.235</v>
      </c>
    </row>
    <row r="39">
      <c r="A39" s="22"/>
      <c r="B39" s="1"/>
      <c r="C39" s="1"/>
      <c r="D39" s="1"/>
      <c r="E39" s="32" t="s">
        <v>111</v>
      </c>
      <c r="F39" s="41" t="s">
        <v>67</v>
      </c>
      <c r="G39" s="34">
        <v>2.0</v>
      </c>
      <c r="H39" s="35">
        <f t="shared" ref="H39:H48" si="21">IF(G39="","",G39*(1+10%+20%+15%*(1+20%)))</f>
        <v>2.96</v>
      </c>
      <c r="I39" s="34">
        <v>3.0</v>
      </c>
      <c r="J39" s="35">
        <f t="shared" ref="J39:J47" si="22">IF(I39="","",I39*(1+10%+20%+15%*(1+20%)))</f>
        <v>4.44</v>
      </c>
      <c r="K39" s="34">
        <v>1.15</v>
      </c>
      <c r="L39" s="36">
        <v>1.15</v>
      </c>
      <c r="M39" s="37">
        <f t="shared" ref="M39:M40" si="23">(G39+I39+1)*115/1000</f>
        <v>0.69</v>
      </c>
      <c r="N39" s="37">
        <f t="shared" ref="N39:N40" si="24">(G39+I39+1)*1725/10000</f>
        <v>1.035</v>
      </c>
      <c r="O39" s="38">
        <f t="shared" ref="O39:O48" si="25">H39*H$1+J39*J$1+K39*K$1+L39*L$1+M39*M$1+N39*N$1</f>
        <v>796.65</v>
      </c>
      <c r="P39" s="39"/>
      <c r="Q39" s="1"/>
    </row>
    <row r="40">
      <c r="A40" s="22"/>
      <c r="B40" s="1"/>
      <c r="C40" s="1"/>
      <c r="D40" s="1"/>
      <c r="E40" s="32" t="s">
        <v>32</v>
      </c>
      <c r="F40" s="41" t="s">
        <v>68</v>
      </c>
      <c r="G40" s="34">
        <v>1.0</v>
      </c>
      <c r="H40" s="35">
        <f t="shared" si="21"/>
        <v>1.48</v>
      </c>
      <c r="I40" s="34">
        <v>2.0</v>
      </c>
      <c r="J40" s="35">
        <f t="shared" si="22"/>
        <v>2.96</v>
      </c>
      <c r="K40" s="34">
        <v>1.15</v>
      </c>
      <c r="L40" s="36">
        <v>0.0</v>
      </c>
      <c r="M40" s="37">
        <f t="shared" si="23"/>
        <v>0.46</v>
      </c>
      <c r="N40" s="37">
        <f t="shared" si="24"/>
        <v>0.69</v>
      </c>
      <c r="O40" s="38">
        <f t="shared" si="25"/>
        <v>454.4</v>
      </c>
      <c r="P40" s="39"/>
      <c r="Q40" s="1"/>
    </row>
    <row r="41">
      <c r="A41" s="22"/>
      <c r="B41" s="1"/>
      <c r="C41" s="1"/>
      <c r="D41" s="1"/>
      <c r="E41" s="32" t="s">
        <v>112</v>
      </c>
      <c r="F41" s="41" t="s">
        <v>113</v>
      </c>
      <c r="G41" s="34">
        <v>4.0</v>
      </c>
      <c r="H41" s="35">
        <f t="shared" si="21"/>
        <v>5.92</v>
      </c>
      <c r="I41" s="34">
        <v>3.0</v>
      </c>
      <c r="J41" s="35">
        <f t="shared" si="22"/>
        <v>4.44</v>
      </c>
      <c r="K41" s="34">
        <v>3.4499999999999997</v>
      </c>
      <c r="L41" s="36">
        <v>0.0</v>
      </c>
      <c r="M41" s="37">
        <f>(G41+I41+3)*115/1000</f>
        <v>1.15</v>
      </c>
      <c r="N41" s="37">
        <f>(G41+I41+3)*1725/10000</f>
        <v>1.725</v>
      </c>
      <c r="O41" s="38">
        <f t="shared" si="25"/>
        <v>1103.9</v>
      </c>
      <c r="P41" s="39"/>
      <c r="Q41" s="1"/>
    </row>
    <row r="42">
      <c r="A42" s="22"/>
      <c r="B42" s="1"/>
      <c r="C42" s="1"/>
      <c r="D42" s="1"/>
      <c r="E42" s="32" t="s">
        <v>114</v>
      </c>
      <c r="F42" s="41" t="s">
        <v>115</v>
      </c>
      <c r="G42" s="34">
        <v>3.0</v>
      </c>
      <c r="H42" s="35">
        <f t="shared" si="21"/>
        <v>4.44</v>
      </c>
      <c r="I42" s="34">
        <v>3.0</v>
      </c>
      <c r="J42" s="35">
        <f t="shared" si="22"/>
        <v>4.44</v>
      </c>
      <c r="K42" s="34">
        <v>2.3</v>
      </c>
      <c r="L42" s="36">
        <v>0.0</v>
      </c>
      <c r="M42" s="37">
        <f t="shared" ref="M42:M46" si="26">(G42+I42+2)*115/1000</f>
        <v>0.92</v>
      </c>
      <c r="N42" s="37">
        <f t="shared" ref="N42:N46" si="27">(G42+I42+2)*1725/10000</f>
        <v>1.38</v>
      </c>
      <c r="O42" s="38">
        <f t="shared" si="25"/>
        <v>901.4</v>
      </c>
      <c r="P42" s="39"/>
      <c r="Q42" s="1"/>
    </row>
    <row r="43">
      <c r="A43" s="22"/>
      <c r="B43" s="1"/>
      <c r="C43" s="1"/>
      <c r="D43" s="1"/>
      <c r="E43" s="32" t="s">
        <v>116</v>
      </c>
      <c r="F43" s="41" t="s">
        <v>117</v>
      </c>
      <c r="G43" s="34">
        <v>3.0</v>
      </c>
      <c r="H43" s="35">
        <f t="shared" si="21"/>
        <v>4.44</v>
      </c>
      <c r="I43" s="34">
        <v>3.0</v>
      </c>
      <c r="J43" s="35">
        <f t="shared" si="22"/>
        <v>4.44</v>
      </c>
      <c r="K43" s="34">
        <v>2.3</v>
      </c>
      <c r="L43" s="36">
        <v>0.0</v>
      </c>
      <c r="M43" s="37">
        <f t="shared" si="26"/>
        <v>0.92</v>
      </c>
      <c r="N43" s="37">
        <f t="shared" si="27"/>
        <v>1.38</v>
      </c>
      <c r="O43" s="38">
        <f t="shared" si="25"/>
        <v>901.4</v>
      </c>
      <c r="P43" s="39"/>
      <c r="Q43" s="1"/>
    </row>
    <row r="44">
      <c r="A44" s="22"/>
      <c r="B44" s="1"/>
      <c r="C44" s="1"/>
      <c r="D44" s="1"/>
      <c r="E44" s="32" t="s">
        <v>118</v>
      </c>
      <c r="F44" s="41" t="s">
        <v>119</v>
      </c>
      <c r="G44" s="34">
        <v>3.0</v>
      </c>
      <c r="H44" s="35">
        <f t="shared" si="21"/>
        <v>4.44</v>
      </c>
      <c r="I44" s="34">
        <v>3.0</v>
      </c>
      <c r="J44" s="35">
        <f t="shared" si="22"/>
        <v>4.44</v>
      </c>
      <c r="K44" s="34">
        <v>2.3</v>
      </c>
      <c r="L44" s="36">
        <v>0.0</v>
      </c>
      <c r="M44" s="37">
        <f t="shared" si="26"/>
        <v>0.92</v>
      </c>
      <c r="N44" s="37">
        <f t="shared" si="27"/>
        <v>1.38</v>
      </c>
      <c r="O44" s="38">
        <f t="shared" si="25"/>
        <v>901.4</v>
      </c>
      <c r="P44" s="39"/>
      <c r="Q44" s="1"/>
    </row>
    <row r="45">
      <c r="A45" s="22"/>
      <c r="B45" s="1"/>
      <c r="C45" s="1"/>
      <c r="D45" s="1"/>
      <c r="E45" s="32" t="s">
        <v>120</v>
      </c>
      <c r="F45" s="41" t="s">
        <v>121</v>
      </c>
      <c r="G45" s="34">
        <v>4.0</v>
      </c>
      <c r="H45" s="35">
        <f t="shared" si="21"/>
        <v>5.92</v>
      </c>
      <c r="I45" s="34">
        <v>4.0</v>
      </c>
      <c r="J45" s="35">
        <f t="shared" si="22"/>
        <v>5.92</v>
      </c>
      <c r="K45" s="34">
        <v>2.3</v>
      </c>
      <c r="L45" s="36">
        <v>0.19999999999999973</v>
      </c>
      <c r="M45" s="37">
        <f t="shared" si="26"/>
        <v>1.15</v>
      </c>
      <c r="N45" s="37">
        <f t="shared" si="27"/>
        <v>1.725</v>
      </c>
      <c r="O45" s="38">
        <f t="shared" si="25"/>
        <v>1162.9</v>
      </c>
      <c r="P45" s="39"/>
      <c r="Q45" s="1"/>
    </row>
    <row r="46">
      <c r="A46" s="22"/>
      <c r="B46" s="1"/>
      <c r="C46" s="1"/>
      <c r="D46" s="1"/>
      <c r="E46" s="32" t="s">
        <v>122</v>
      </c>
      <c r="F46" s="41" t="s">
        <v>123</v>
      </c>
      <c r="G46" s="34">
        <v>4.0</v>
      </c>
      <c r="H46" s="35">
        <f t="shared" si="21"/>
        <v>5.92</v>
      </c>
      <c r="I46" s="34">
        <v>3.0</v>
      </c>
      <c r="J46" s="35">
        <f t="shared" si="22"/>
        <v>4.44</v>
      </c>
      <c r="K46" s="34">
        <v>2.3</v>
      </c>
      <c r="L46" s="36">
        <v>0.0</v>
      </c>
      <c r="M46" s="37">
        <f t="shared" si="26"/>
        <v>1.035</v>
      </c>
      <c r="N46" s="37">
        <f t="shared" si="27"/>
        <v>1.5525</v>
      </c>
      <c r="O46" s="38">
        <f t="shared" si="25"/>
        <v>1019.95</v>
      </c>
      <c r="P46" s="39"/>
      <c r="Q46" s="1"/>
    </row>
    <row r="47">
      <c r="A47" s="22"/>
      <c r="B47" s="1"/>
      <c r="C47" s="1"/>
      <c r="D47" s="1"/>
      <c r="E47" s="32" t="s">
        <v>124</v>
      </c>
      <c r="F47" s="41" t="s">
        <v>125</v>
      </c>
      <c r="G47" s="34">
        <v>4.0</v>
      </c>
      <c r="H47" s="35">
        <f t="shared" si="21"/>
        <v>5.92</v>
      </c>
      <c r="I47" s="34">
        <v>4.0</v>
      </c>
      <c r="J47" s="35">
        <f t="shared" si="22"/>
        <v>5.92</v>
      </c>
      <c r="K47" s="34">
        <v>3.4499999999999997</v>
      </c>
      <c r="L47" s="36">
        <v>0.0</v>
      </c>
      <c r="M47" s="37">
        <f>((G47+I47+3)*115/1000)-280000/1000000</f>
        <v>0.985</v>
      </c>
      <c r="N47" s="37">
        <f>((G47+I47+3)*1725/10000)-620000/1000000</f>
        <v>1.2775</v>
      </c>
      <c r="O47" s="38">
        <f t="shared" si="25"/>
        <v>1183.45</v>
      </c>
      <c r="P47" s="39"/>
      <c r="Q47" s="1"/>
    </row>
    <row r="48">
      <c r="A48" s="22"/>
      <c r="B48" s="1"/>
      <c r="C48" s="1"/>
      <c r="D48" s="1"/>
      <c r="E48" s="32" t="s">
        <v>126</v>
      </c>
      <c r="F48" s="41" t="s">
        <v>127</v>
      </c>
      <c r="G48" s="34">
        <v>3.0</v>
      </c>
      <c r="H48" s="35">
        <f t="shared" si="21"/>
        <v>4.44</v>
      </c>
      <c r="I48" s="34">
        <v>3.0</v>
      </c>
      <c r="J48" s="35">
        <f>(IF(I48="","",I48*(1+10%+20%+15%*(1+20%))))-1250000/1000000</f>
        <v>3.19</v>
      </c>
      <c r="K48" s="34">
        <v>2.3</v>
      </c>
      <c r="L48" s="36">
        <v>0.0</v>
      </c>
      <c r="M48" s="37">
        <f>((G48+I48+2)*115/1000)-920000/1000000</f>
        <v>0</v>
      </c>
      <c r="N48" s="37">
        <f>((G48+I48+2)*1725/10000)-1380000/1000000</f>
        <v>0</v>
      </c>
      <c r="O48" s="38">
        <f t="shared" si="25"/>
        <v>688.05</v>
      </c>
      <c r="P48" s="39"/>
      <c r="Q48" s="1"/>
    </row>
    <row r="49">
      <c r="A49" s="22"/>
      <c r="B49" s="23"/>
      <c r="C49" s="24" t="s">
        <v>37</v>
      </c>
      <c r="D49" s="23"/>
      <c r="E49" s="48"/>
      <c r="F49" s="23"/>
      <c r="G49" s="23"/>
      <c r="H49" s="49"/>
      <c r="I49" s="49"/>
      <c r="J49" s="49"/>
      <c r="K49" s="49"/>
      <c r="L49" s="49"/>
      <c r="M49" s="49"/>
      <c r="N49" s="50"/>
      <c r="O49" s="55">
        <f>SUM(O50:O59)</f>
        <v>8987.55</v>
      </c>
      <c r="P49" s="28">
        <f>SUM(AC23:AC24)</f>
        <v>2049.75</v>
      </c>
      <c r="Q49" s="1"/>
      <c r="R49" s="51" t="s">
        <v>128</v>
      </c>
      <c r="S49" s="52">
        <f>SUM(H50:H59)+SUM(J50:J59)+SUM(K50:K59)+SUM(L50:L59)+SUM(M50:M59)+SUM(N50:N59)</f>
        <v>133.4675</v>
      </c>
    </row>
    <row r="50">
      <c r="A50" s="22"/>
      <c r="B50" s="1"/>
      <c r="C50" s="1"/>
      <c r="D50" s="1"/>
      <c r="E50" s="32" t="s">
        <v>129</v>
      </c>
      <c r="F50" s="41" t="s">
        <v>67</v>
      </c>
      <c r="G50" s="34">
        <v>2.0</v>
      </c>
      <c r="H50" s="35">
        <f t="shared" ref="H50:H59" si="28">IF(G50="","",G50*(1+10%+20%+15%*(1+20%)))</f>
        <v>2.96</v>
      </c>
      <c r="I50" s="34">
        <v>3.0</v>
      </c>
      <c r="J50" s="35">
        <f t="shared" ref="J50:J58" si="29">IF(I50="","",I50*(1+10%+20%+15%*(1+20%)))</f>
        <v>4.44</v>
      </c>
      <c r="K50" s="34">
        <v>1.15</v>
      </c>
      <c r="L50" s="36">
        <v>1.15</v>
      </c>
      <c r="M50" s="37">
        <f t="shared" ref="M50:M51" si="30">(G50+I50+1)*115/1000</f>
        <v>0.69</v>
      </c>
      <c r="N50" s="37">
        <f t="shared" ref="N50:N51" si="31">(G50+I50+1)*1725/10000</f>
        <v>1.035</v>
      </c>
      <c r="O50" s="38">
        <f t="shared" ref="O50:O59" si="32">H50*H$1+J50*J$1+K50*K$1+L50*L$1+M50*M$1+N50*N$1</f>
        <v>796.65</v>
      </c>
      <c r="P50" s="39"/>
      <c r="Q50" s="1"/>
    </row>
    <row r="51">
      <c r="A51" s="22"/>
      <c r="B51" s="1"/>
      <c r="C51" s="1"/>
      <c r="D51" s="1"/>
      <c r="E51" s="32" t="s">
        <v>32</v>
      </c>
      <c r="F51" s="41" t="s">
        <v>68</v>
      </c>
      <c r="G51" s="34">
        <v>1.0</v>
      </c>
      <c r="H51" s="35">
        <f t="shared" si="28"/>
        <v>1.48</v>
      </c>
      <c r="I51" s="34">
        <v>2.0</v>
      </c>
      <c r="J51" s="35">
        <f t="shared" si="29"/>
        <v>2.96</v>
      </c>
      <c r="K51" s="34">
        <v>1.15</v>
      </c>
      <c r="L51" s="36">
        <v>0.0</v>
      </c>
      <c r="M51" s="37">
        <f t="shared" si="30"/>
        <v>0.46</v>
      </c>
      <c r="N51" s="37">
        <f t="shared" si="31"/>
        <v>0.69</v>
      </c>
      <c r="O51" s="38">
        <f t="shared" si="32"/>
        <v>454.4</v>
      </c>
      <c r="P51" s="39"/>
      <c r="Q51" s="1"/>
    </row>
    <row r="52">
      <c r="A52" s="22"/>
      <c r="B52" s="1"/>
      <c r="C52" s="1"/>
      <c r="D52" s="1"/>
      <c r="E52" s="32" t="s">
        <v>130</v>
      </c>
      <c r="F52" s="41" t="s">
        <v>131</v>
      </c>
      <c r="G52" s="34">
        <v>4.0</v>
      </c>
      <c r="H52" s="35">
        <f t="shared" si="28"/>
        <v>5.92</v>
      </c>
      <c r="I52" s="34">
        <v>4.0</v>
      </c>
      <c r="J52" s="35">
        <f t="shared" si="29"/>
        <v>5.92</v>
      </c>
      <c r="K52" s="34">
        <v>3.4499999999999997</v>
      </c>
      <c r="L52" s="36">
        <v>0.0</v>
      </c>
      <c r="M52" s="37">
        <f>(G52+I52+3)*115/1000</f>
        <v>1.265</v>
      </c>
      <c r="N52" s="37">
        <f>(G52+I52+3)*1725/10000</f>
        <v>1.8975</v>
      </c>
      <c r="O52" s="38">
        <f t="shared" si="32"/>
        <v>1229.85</v>
      </c>
      <c r="P52" s="39"/>
      <c r="Q52" s="1"/>
    </row>
    <row r="53">
      <c r="A53" s="22"/>
      <c r="B53" s="1"/>
      <c r="C53" s="1"/>
      <c r="D53" s="1"/>
      <c r="E53" s="32" t="s">
        <v>132</v>
      </c>
      <c r="F53" s="41" t="s">
        <v>133</v>
      </c>
      <c r="G53" s="34">
        <v>3.0</v>
      </c>
      <c r="H53" s="35">
        <f t="shared" si="28"/>
        <v>4.44</v>
      </c>
      <c r="I53" s="34">
        <v>3.0</v>
      </c>
      <c r="J53" s="35">
        <f t="shared" si="29"/>
        <v>4.44</v>
      </c>
      <c r="K53" s="34">
        <v>2.3</v>
      </c>
      <c r="L53" s="36">
        <v>0.0</v>
      </c>
      <c r="M53" s="37">
        <f>(G53+I53+2)*115/1000</f>
        <v>0.92</v>
      </c>
      <c r="N53" s="37">
        <f>(G53+I53+2)*1725/10000</f>
        <v>1.38</v>
      </c>
      <c r="O53" s="38">
        <f t="shared" si="32"/>
        <v>901.4</v>
      </c>
      <c r="P53" s="39"/>
      <c r="Q53" s="1"/>
    </row>
    <row r="54">
      <c r="A54" s="22"/>
      <c r="B54" s="1"/>
      <c r="C54" s="1"/>
      <c r="D54" s="1"/>
      <c r="E54" s="32" t="s">
        <v>134</v>
      </c>
      <c r="F54" s="41" t="s">
        <v>135</v>
      </c>
      <c r="G54" s="34">
        <v>5.0</v>
      </c>
      <c r="H54" s="35">
        <f t="shared" si="28"/>
        <v>7.4</v>
      </c>
      <c r="I54" s="34">
        <v>5.0</v>
      </c>
      <c r="J54" s="35">
        <f t="shared" si="29"/>
        <v>7.4</v>
      </c>
      <c r="K54" s="34">
        <v>3.4499999999999997</v>
      </c>
      <c r="L54" s="36">
        <v>0.19999999999999973</v>
      </c>
      <c r="M54" s="37">
        <f>(G54+I54+3)*115/1000</f>
        <v>1.495</v>
      </c>
      <c r="N54" s="37">
        <f>(G54+I54+3)*1725/10000</f>
        <v>2.2425</v>
      </c>
      <c r="O54" s="38">
        <f t="shared" si="32"/>
        <v>1491.35</v>
      </c>
      <c r="P54" s="39"/>
      <c r="Q54" s="1"/>
    </row>
    <row r="55">
      <c r="A55" s="22"/>
      <c r="B55" s="1"/>
      <c r="C55" s="1"/>
      <c r="D55" s="1"/>
      <c r="E55" s="32" t="s">
        <v>136</v>
      </c>
      <c r="F55" s="41" t="s">
        <v>137</v>
      </c>
      <c r="G55" s="34">
        <v>3.0</v>
      </c>
      <c r="H55" s="35">
        <f t="shared" si="28"/>
        <v>4.44</v>
      </c>
      <c r="I55" s="34">
        <v>2.0</v>
      </c>
      <c r="J55" s="35">
        <f t="shared" si="29"/>
        <v>2.96</v>
      </c>
      <c r="K55" s="34">
        <v>2.3</v>
      </c>
      <c r="L55" s="36">
        <v>0.0</v>
      </c>
      <c r="M55" s="37">
        <f t="shared" ref="M55:M57" si="33">(G55+I55+2)*115/1000</f>
        <v>0.805</v>
      </c>
      <c r="N55" s="37">
        <f t="shared" ref="N55:N57" si="34">(G55+I55+2)*1725/10000</f>
        <v>1.2075</v>
      </c>
      <c r="O55" s="38">
        <f t="shared" si="32"/>
        <v>775.45</v>
      </c>
      <c r="P55" s="39"/>
      <c r="Q55" s="1"/>
    </row>
    <row r="56">
      <c r="A56" s="22"/>
      <c r="B56" s="1"/>
      <c r="C56" s="1"/>
      <c r="D56" s="1"/>
      <c r="E56" s="32" t="s">
        <v>138</v>
      </c>
      <c r="F56" s="41" t="s">
        <v>139</v>
      </c>
      <c r="G56" s="34">
        <v>3.0</v>
      </c>
      <c r="H56" s="35">
        <f t="shared" si="28"/>
        <v>4.44</v>
      </c>
      <c r="I56" s="34">
        <v>3.0</v>
      </c>
      <c r="J56" s="35">
        <f t="shared" si="29"/>
        <v>4.44</v>
      </c>
      <c r="K56" s="34">
        <v>2.3</v>
      </c>
      <c r="L56" s="36">
        <v>0.0</v>
      </c>
      <c r="M56" s="37">
        <f t="shared" si="33"/>
        <v>0.92</v>
      </c>
      <c r="N56" s="37">
        <f t="shared" si="34"/>
        <v>1.38</v>
      </c>
      <c r="O56" s="38">
        <f t="shared" si="32"/>
        <v>901.4</v>
      </c>
      <c r="P56" s="39"/>
      <c r="Q56" s="1"/>
    </row>
    <row r="57">
      <c r="A57" s="22"/>
      <c r="B57" s="1"/>
      <c r="C57" s="1"/>
      <c r="D57" s="1"/>
      <c r="E57" s="32" t="s">
        <v>140</v>
      </c>
      <c r="F57" s="41" t="s">
        <v>141</v>
      </c>
      <c r="G57" s="34">
        <v>4.0</v>
      </c>
      <c r="H57" s="35">
        <f t="shared" si="28"/>
        <v>5.92</v>
      </c>
      <c r="I57" s="34">
        <v>3.0</v>
      </c>
      <c r="J57" s="35">
        <f t="shared" si="29"/>
        <v>4.44</v>
      </c>
      <c r="K57" s="34">
        <v>2.3</v>
      </c>
      <c r="L57" s="36">
        <v>0.0</v>
      </c>
      <c r="M57" s="37">
        <f t="shared" si="33"/>
        <v>1.035</v>
      </c>
      <c r="N57" s="37">
        <f t="shared" si="34"/>
        <v>1.5525</v>
      </c>
      <c r="O57" s="38">
        <f t="shared" si="32"/>
        <v>1019.95</v>
      </c>
      <c r="P57" s="39"/>
      <c r="Q57" s="1"/>
    </row>
    <row r="58">
      <c r="A58" s="22"/>
      <c r="B58" s="1"/>
      <c r="C58" s="1"/>
      <c r="D58" s="1"/>
      <c r="E58" s="32" t="s">
        <v>142</v>
      </c>
      <c r="F58" s="41" t="s">
        <v>143</v>
      </c>
      <c r="G58" s="34">
        <v>3.0</v>
      </c>
      <c r="H58" s="35">
        <f t="shared" si="28"/>
        <v>4.44</v>
      </c>
      <c r="I58" s="34">
        <v>3.0</v>
      </c>
      <c r="J58" s="35">
        <f t="shared" si="29"/>
        <v>4.44</v>
      </c>
      <c r="K58" s="34">
        <v>2.3</v>
      </c>
      <c r="L58" s="36">
        <v>0.0</v>
      </c>
      <c r="M58" s="37">
        <f>((G58+I58+2)*115/1000)-395000/1000000</f>
        <v>0.525</v>
      </c>
      <c r="N58" s="37">
        <f>((G58+I58+2)*1725/10000)-792500/1000000</f>
        <v>0.5875</v>
      </c>
      <c r="O58" s="38">
        <f t="shared" si="32"/>
        <v>840.05</v>
      </c>
      <c r="P58" s="39"/>
      <c r="Q58" s="1"/>
    </row>
    <row r="59">
      <c r="A59" s="22"/>
      <c r="B59" s="1"/>
      <c r="C59" s="1"/>
      <c r="D59" s="1"/>
      <c r="E59" s="32" t="s">
        <v>144</v>
      </c>
      <c r="F59" s="41" t="s">
        <v>145</v>
      </c>
      <c r="G59" s="34">
        <v>3.0</v>
      </c>
      <c r="H59" s="35">
        <f t="shared" si="28"/>
        <v>4.44</v>
      </c>
      <c r="I59" s="34">
        <v>2.0</v>
      </c>
      <c r="J59" s="35">
        <f>(IF(I59="","",I59*(1+10%+20%+15%*(1+20%))))-1250000/1000000</f>
        <v>1.71</v>
      </c>
      <c r="K59" s="34">
        <v>2.3</v>
      </c>
      <c r="L59" s="36">
        <v>0.0</v>
      </c>
      <c r="M59" s="37">
        <f>((G59+I59+2)*115/1000)-805000/1000000</f>
        <v>0</v>
      </c>
      <c r="N59" s="37">
        <f>((G59+I59+2)*1725/10000)-1207500/1000000</f>
        <v>0</v>
      </c>
      <c r="O59" s="38">
        <f t="shared" si="32"/>
        <v>577.05</v>
      </c>
      <c r="P59" s="39"/>
      <c r="Q59" s="1"/>
    </row>
    <row r="60">
      <c r="A60" s="22"/>
      <c r="B60" s="23"/>
      <c r="C60" s="56" t="s">
        <v>146</v>
      </c>
      <c r="D60" s="23"/>
      <c r="E60" s="48"/>
      <c r="F60" s="23"/>
      <c r="G60" s="23"/>
      <c r="H60" s="49"/>
      <c r="I60" s="49"/>
      <c r="J60" s="49"/>
      <c r="K60" s="49"/>
      <c r="L60" s="49"/>
      <c r="M60" s="49"/>
      <c r="N60" s="50"/>
      <c r="O60" s="55">
        <f>SUM(O61:O65)</f>
        <v>2191.25</v>
      </c>
      <c r="P60" s="28">
        <f>SUM(AC25:AC28)</f>
        <v>3560</v>
      </c>
      <c r="Q60" s="1"/>
      <c r="R60" s="51" t="s">
        <v>147</v>
      </c>
      <c r="S60" s="52">
        <f>SUM(J61:J65)+SUM(L61:N65)</f>
        <v>32.75</v>
      </c>
    </row>
    <row r="61">
      <c r="A61" s="22"/>
      <c r="B61" s="1"/>
      <c r="C61" s="1"/>
      <c r="D61" s="1"/>
      <c r="E61" s="57" t="s">
        <v>148</v>
      </c>
      <c r="F61" s="1"/>
      <c r="G61" s="58"/>
      <c r="H61" s="58"/>
      <c r="I61" s="59"/>
      <c r="J61" s="34">
        <v>2.5</v>
      </c>
      <c r="K61" s="58"/>
      <c r="L61" s="60">
        <v>1.25</v>
      </c>
      <c r="M61" s="36">
        <v>0.0</v>
      </c>
      <c r="N61" s="60">
        <v>6.25</v>
      </c>
      <c r="O61" s="61">
        <f t="shared" ref="O61:O65" si="35">J61*J$1+L61*L$1+M61*M$1+N61*N$1</f>
        <v>606.25</v>
      </c>
      <c r="P61" s="39"/>
      <c r="Q61" s="1"/>
    </row>
    <row r="62">
      <c r="A62" s="22"/>
      <c r="B62" s="1"/>
      <c r="C62" s="1"/>
      <c r="D62" s="1"/>
      <c r="E62" s="57" t="s">
        <v>149</v>
      </c>
      <c r="F62" s="1"/>
      <c r="G62" s="58"/>
      <c r="H62" s="58"/>
      <c r="I62" s="59"/>
      <c r="J62" s="34">
        <v>1.25</v>
      </c>
      <c r="K62" s="58"/>
      <c r="L62" s="36">
        <v>0.0</v>
      </c>
      <c r="M62" s="60">
        <v>4.0</v>
      </c>
      <c r="N62" s="36">
        <v>0.0</v>
      </c>
      <c r="O62" s="61">
        <f t="shared" si="35"/>
        <v>313.75</v>
      </c>
      <c r="P62" s="39"/>
      <c r="Q62" s="1"/>
    </row>
    <row r="63">
      <c r="A63" s="22"/>
      <c r="B63" s="1"/>
      <c r="C63" s="1"/>
      <c r="D63" s="1"/>
      <c r="E63" s="57" t="s">
        <v>150</v>
      </c>
      <c r="F63" s="1"/>
      <c r="G63" s="58"/>
      <c r="H63" s="58"/>
      <c r="I63" s="58"/>
      <c r="J63" s="34">
        <v>0.0</v>
      </c>
      <c r="K63" s="58"/>
      <c r="L63" s="60">
        <v>7.5</v>
      </c>
      <c r="M63" s="36">
        <v>0.0</v>
      </c>
      <c r="N63" s="60">
        <v>1.25</v>
      </c>
      <c r="O63" s="61">
        <f t="shared" si="35"/>
        <v>700</v>
      </c>
      <c r="P63" s="39"/>
      <c r="Q63" s="1"/>
    </row>
    <row r="64">
      <c r="A64" s="22"/>
      <c r="B64" s="1"/>
      <c r="C64" s="1"/>
      <c r="D64" s="1"/>
      <c r="E64" s="57" t="s">
        <v>151</v>
      </c>
      <c r="F64" s="1"/>
      <c r="G64" s="58"/>
      <c r="H64" s="58"/>
      <c r="I64" s="59"/>
      <c r="J64" s="34">
        <v>1.25</v>
      </c>
      <c r="K64" s="58"/>
      <c r="L64" s="60">
        <v>0.0</v>
      </c>
      <c r="M64" s="60">
        <v>1.0</v>
      </c>
      <c r="N64" s="60">
        <v>1.25</v>
      </c>
      <c r="O64" s="61">
        <f t="shared" si="35"/>
        <v>211.25</v>
      </c>
      <c r="P64" s="39"/>
      <c r="Q64" s="1"/>
    </row>
    <row r="65">
      <c r="A65" s="22"/>
      <c r="B65" s="1"/>
      <c r="C65" s="1"/>
      <c r="D65" s="1"/>
      <c r="E65" s="57" t="s">
        <v>152</v>
      </c>
      <c r="F65" s="1"/>
      <c r="G65" s="58"/>
      <c r="H65" s="58"/>
      <c r="I65" s="59"/>
      <c r="J65" s="34">
        <v>1.25</v>
      </c>
      <c r="K65" s="58"/>
      <c r="L65" s="60">
        <v>1.75</v>
      </c>
      <c r="M65" s="60">
        <v>1.0</v>
      </c>
      <c r="N65" s="60">
        <v>1.25</v>
      </c>
      <c r="O65" s="61">
        <f t="shared" si="35"/>
        <v>360</v>
      </c>
      <c r="P65" s="39"/>
      <c r="Q65" s="1"/>
    </row>
    <row r="66">
      <c r="A66" s="22"/>
      <c r="B66" s="23"/>
      <c r="C66" s="62" t="s">
        <v>153</v>
      </c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63"/>
      <c r="O66" s="64"/>
      <c r="P66" s="65">
        <f>SUM(P5,P16,P27,P38,P49,P60)</f>
        <v>15260</v>
      </c>
      <c r="Q66" s="1"/>
    </row>
    <row r="67">
      <c r="A67" s="22"/>
      <c r="B67" s="66"/>
      <c r="C67" s="67" t="s">
        <v>154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8"/>
      <c r="O67" s="64"/>
      <c r="P67" s="27">
        <f>SUM(O5,O16,O27,O38,O49,O60)</f>
        <v>54739.6</v>
      </c>
      <c r="Q67" s="1"/>
    </row>
    <row r="68">
      <c r="A68" s="1"/>
      <c r="B68" s="1"/>
      <c r="C68" s="41" t="s">
        <v>155</v>
      </c>
      <c r="D68" s="1"/>
      <c r="E68" s="1"/>
      <c r="F68" s="1"/>
      <c r="G68" s="1"/>
      <c r="H68" s="1"/>
      <c r="I68" s="1"/>
      <c r="J68" s="31"/>
      <c r="K68" s="1"/>
      <c r="L68" s="31"/>
      <c r="M68" s="31"/>
      <c r="N68" s="31"/>
      <c r="O68" s="69"/>
      <c r="P68" s="65">
        <f>P67+P66</f>
        <v>69999.6</v>
      </c>
      <c r="Q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70"/>
      <c r="Q69" s="1"/>
    </row>
    <row r="71">
      <c r="E71" s="17" t="s">
        <v>156</v>
      </c>
    </row>
    <row r="72">
      <c r="E72" s="17" t="s">
        <v>157</v>
      </c>
    </row>
    <row r="73">
      <c r="E73" s="17" t="s">
        <v>158</v>
      </c>
    </row>
    <row r="74">
      <c r="E74" s="17" t="s">
        <v>159</v>
      </c>
    </row>
    <row r="75">
      <c r="E75" s="17" t="s">
        <v>160</v>
      </c>
    </row>
    <row r="76">
      <c r="E76" s="17" t="s">
        <v>161</v>
      </c>
    </row>
    <row r="77">
      <c r="E77" s="17" t="s">
        <v>162</v>
      </c>
    </row>
    <row r="78">
      <c r="E78" s="17" t="s">
        <v>163</v>
      </c>
    </row>
  </sheetData>
  <mergeCells count="3">
    <mergeCell ref="B2:F2"/>
    <mergeCell ref="F5:N5"/>
    <mergeCell ref="U31:AC3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49.38"/>
    <col customWidth="1" min="3" max="3" width="32.0"/>
  </cols>
  <sheetData>
    <row r="1">
      <c r="A1" s="24" t="s">
        <v>164</v>
      </c>
      <c r="B1" s="24" t="s">
        <v>165</v>
      </c>
      <c r="C1" s="24" t="s">
        <v>166</v>
      </c>
    </row>
    <row r="2">
      <c r="A2" s="1"/>
      <c r="B2" s="1"/>
      <c r="C2" s="71"/>
    </row>
    <row r="3">
      <c r="A3" s="1" t="s">
        <v>24</v>
      </c>
      <c r="B3" s="1" t="s">
        <v>167</v>
      </c>
      <c r="C3" s="72" t="s">
        <v>168</v>
      </c>
    </row>
    <row r="4">
      <c r="A4" s="1"/>
      <c r="B4" s="1"/>
    </row>
    <row r="5">
      <c r="A5" s="1" t="s">
        <v>28</v>
      </c>
      <c r="B5" s="1" t="s">
        <v>169</v>
      </c>
    </row>
    <row r="6">
      <c r="A6" s="1"/>
      <c r="B6" s="1"/>
    </row>
    <row r="7">
      <c r="A7" s="1" t="s">
        <v>31</v>
      </c>
      <c r="B7" s="1" t="s">
        <v>170</v>
      </c>
    </row>
    <row r="8">
      <c r="A8" s="1"/>
      <c r="B8" s="1"/>
    </row>
    <row r="9">
      <c r="A9" s="1" t="s">
        <v>34</v>
      </c>
      <c r="B9" s="1" t="s">
        <v>171</v>
      </c>
    </row>
    <row r="10">
      <c r="A10" s="1"/>
      <c r="B10" s="1"/>
    </row>
    <row r="11">
      <c r="A11" s="1" t="s">
        <v>37</v>
      </c>
      <c r="B11" s="1" t="s">
        <v>172</v>
      </c>
    </row>
  </sheetData>
  <mergeCells count="1">
    <mergeCell ref="C3:C11"/>
  </mergeCells>
  <drawing r:id="rId1"/>
</worksheet>
</file>