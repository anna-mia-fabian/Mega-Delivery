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інка годин" sheetId="1" r:id="rId5"/>
  </sheets>
  <definedNames/>
  <calcPr/>
</workbook>
</file>

<file path=xl/sharedStrings.xml><?xml version="1.0" encoding="utf-8"?>
<sst xmlns="http://schemas.openxmlformats.org/spreadsheetml/2006/main" count="36" uniqueCount="31">
  <si>
    <t>Застосунок</t>
  </si>
  <si>
    <t>Frontend, год</t>
  </si>
  <si>
    <t>Backend, год</t>
  </si>
  <si>
    <t>UX/UI, год</t>
  </si>
  <si>
    <t>PM, год</t>
  </si>
  <si>
    <t>QA, год</t>
  </si>
  <si>
    <t>DevOps, год</t>
  </si>
  <si>
    <t>Разом, год</t>
  </si>
  <si>
    <t>Комунікації враховано в годинах B:H; повторно не додавати.</t>
  </si>
  <si>
    <t>User App</t>
  </si>
  <si>
    <t>Courier App</t>
  </si>
  <si>
    <t>Restaurant App</t>
  </si>
  <si>
    <t>Admin Panel</t>
  </si>
  <si>
    <t>Support Panel</t>
  </si>
  <si>
    <t>УСЬОГО</t>
  </si>
  <si>
    <t>МЕТОДИКА БАЗОВОЇ ОЦІНКИ (надбавки включені; резерв на ризики окремо)</t>
  </si>
  <si>
    <t>Frontend і Backend: база куратора + 10% Unit Tests + 20% Bugfixing + 15% комунікацій від (база + Bugfixing) = база × 1,48.</t>
  </si>
  <si>
    <t>UX/UI: базові години куратора × 1,15 (15% комунікацій).</t>
  </si>
  <si>
    <t>Project Manager (PM): 15% від суми БАЗОВИХ годин Frontend + Backend + UX/UI; плюс 15% комунікацій PM. Формула: (FE + BE + UX) × 0,15 × 1,15.</t>
  </si>
  <si>
    <t>QA Engineer: 10% від суми БАЗОВИХ годин Frontend + Backend + UX/UI; плюс 15% комунікацій QA. Формула: (FE + BE + UX) × 0,10 × 1,15.</t>
  </si>
  <si>
    <t>DevOps Engineer: окрема базова оцінка 4 год (User, Courier, Restaurant) або 3 год (Admin, Support); плюс 15% комунікацій. Формула: база × 1,15.</t>
  </si>
  <si>
    <t>PM 15%, QA 10% і DevOps 4/3 год — припущення навчального проєкту; куратор задав базу FE/BE/UX та надбавки на тести, виправлення й комунікацію.</t>
  </si>
  <si>
    <t>Підготовка й реліз: 6,55 год на застосунок, включно зі спільним тестуванням і моніторингом. Локальна регресія — 0,525 год; спільне тестування — 0,525 год на застосунок. Години не додаються повторно.</t>
  </si>
  <si>
    <t>Спільні роботи PM із вимог і планування (8 год) показані на 5 листах Gantt, але зараховані один раз. Значення рахуються без проміжного округлення.</t>
  </si>
  <si>
    <t>Базові трудовитрати — 812,815 год. У бюджеті: роботи — 54 739,60 $; окремий резерв — 15 260 $; разом — 69 999,60 $. Резервні години не включено в базову оцінку.</t>
  </si>
  <si>
    <t>За актуальним Gantt: спільне тестування — 03.03.2027; випуск — 04.03.2027; завершення моніторингу — 05.03.2027. Строки ризиків показано окремими сценаріями.</t>
  </si>
  <si>
    <t>БАЗОВІ ГОДИНИ ВІД КУРАТОРА</t>
  </si>
  <si>
    <t>Frontend</t>
  </si>
  <si>
    <t>Backend</t>
  </si>
  <si>
    <t>UX/UI</t>
  </si>
  <si>
    <t>DevOps (наша оцінка)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</si>
</sst>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83F66"/>
        <bgColor rgb="FF283F66"/>
      </patternFill>
    </fill>
    <fill>
      <patternFill patternType="solid">
        <fgColor rgb="FF3F5460"/>
        <bgColor rgb="FF3F5460"/>
      </patternFill>
    </fill>
    <fill>
      <patternFill patternType="solid">
        <fgColor rgb="FFD8EAF7"/>
        <bgColor rgb="FFD8EAF7"/>
      </patternFill>
    </fill>
    <fill>
      <patternFill patternType="solid">
        <fgColor rgb="FF26496D"/>
        <bgColor rgb="FF26496D"/>
      </patternFill>
    </fill>
    <fill>
      <patternFill patternType="solid">
        <fgColor rgb="FF285B6D"/>
        <bgColor rgb="FF285B6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4" fontId="3" numFmtId="0" xfId="0" applyFill="1" applyFont="1"/>
    <xf borderId="0" fillId="4" fontId="3" numFmtId="2" xfId="0" applyFill="1" applyFont="1" applyNumberForma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8" width="16.38"/>
    <col customWidth="1" min="9" max="9" width="67.63"/>
    <col customWidth="1" min="10" max="10" width="33.88"/>
    <col customWidth="1" min="11" max="17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</row>
    <row r="2">
      <c r="A2" s="4" t="s">
        <v>9</v>
      </c>
      <c r="B2" s="5">
        <v>65.12</v>
      </c>
      <c r="C2" s="5">
        <v>65.12</v>
      </c>
      <c r="D2" s="5">
        <v>34.5</v>
      </c>
      <c r="E2" s="5">
        <v>20.354999999999997</v>
      </c>
      <c r="F2" s="5">
        <v>13.57</v>
      </c>
      <c r="G2" s="5">
        <v>4.6</v>
      </c>
      <c r="H2" s="6">
        <f t="shared" ref="H2:H6" si="1">SUM(B2:G2)</f>
        <v>203.265</v>
      </c>
    </row>
    <row r="3">
      <c r="A3" s="4" t="s">
        <v>10</v>
      </c>
      <c r="B3" s="5">
        <v>54.76</v>
      </c>
      <c r="C3" s="5">
        <v>56.24</v>
      </c>
      <c r="D3" s="5">
        <v>27.599999999999998</v>
      </c>
      <c r="E3" s="5">
        <v>17.077499999999997</v>
      </c>
      <c r="F3" s="5">
        <v>11.385</v>
      </c>
      <c r="G3" s="5">
        <v>4.6</v>
      </c>
      <c r="H3" s="6">
        <f t="shared" si="1"/>
        <v>171.6625</v>
      </c>
    </row>
    <row r="4">
      <c r="A4" s="4" t="s">
        <v>11</v>
      </c>
      <c r="B4" s="5">
        <v>48.839999999999996</v>
      </c>
      <c r="C4" s="5">
        <v>50.32</v>
      </c>
      <c r="D4" s="5">
        <v>26.45</v>
      </c>
      <c r="E4" s="5">
        <v>15.524999999999999</v>
      </c>
      <c r="F4" s="5">
        <v>10.35</v>
      </c>
      <c r="G4" s="5">
        <v>4.6</v>
      </c>
      <c r="H4" s="6">
        <f t="shared" si="1"/>
        <v>156.085</v>
      </c>
    </row>
    <row r="5">
      <c r="A5" s="4" t="s">
        <v>12</v>
      </c>
      <c r="B5" s="5">
        <v>45.88</v>
      </c>
      <c r="C5" s="5">
        <v>45.88</v>
      </c>
      <c r="D5" s="5">
        <v>23.0</v>
      </c>
      <c r="E5" s="5">
        <v>14.144999999999998</v>
      </c>
      <c r="F5" s="5">
        <v>9.43</v>
      </c>
      <c r="G5" s="5">
        <v>3.4499999999999997</v>
      </c>
      <c r="H5" s="6">
        <f t="shared" si="1"/>
        <v>141.785</v>
      </c>
    </row>
    <row r="6">
      <c r="A6" s="4" t="s">
        <v>13</v>
      </c>
      <c r="B6" s="5">
        <v>45.88</v>
      </c>
      <c r="C6" s="5">
        <v>44.4</v>
      </c>
      <c r="D6" s="5">
        <v>23.0</v>
      </c>
      <c r="E6" s="5">
        <v>13.9725</v>
      </c>
      <c r="F6" s="5">
        <v>9.315</v>
      </c>
      <c r="G6" s="5">
        <v>3.4499999999999997</v>
      </c>
      <c r="H6" s="6">
        <f t="shared" si="1"/>
        <v>140.0175</v>
      </c>
    </row>
    <row r="7">
      <c r="A7" s="7" t="s">
        <v>14</v>
      </c>
      <c r="B7" s="8">
        <f t="shared" ref="B7:H7" si="2">SUM(B2:B6)</f>
        <v>260.48</v>
      </c>
      <c r="C7" s="8">
        <f t="shared" si="2"/>
        <v>261.96</v>
      </c>
      <c r="D7" s="8">
        <f t="shared" si="2"/>
        <v>134.55</v>
      </c>
      <c r="E7" s="8">
        <f t="shared" si="2"/>
        <v>81.075</v>
      </c>
      <c r="F7" s="8">
        <f t="shared" si="2"/>
        <v>54.05</v>
      </c>
      <c r="G7" s="8">
        <f t="shared" si="2"/>
        <v>20.7</v>
      </c>
      <c r="H7" s="8">
        <f t="shared" si="2"/>
        <v>812.815</v>
      </c>
    </row>
    <row r="9">
      <c r="A9" s="4" t="s">
        <v>15</v>
      </c>
    </row>
    <row r="10">
      <c r="A10" s="4" t="s">
        <v>16</v>
      </c>
    </row>
    <row r="11">
      <c r="A11" s="4" t="s">
        <v>17</v>
      </c>
    </row>
    <row r="12">
      <c r="A12" s="4" t="s">
        <v>18</v>
      </c>
    </row>
    <row r="13">
      <c r="A13" s="4" t="s">
        <v>19</v>
      </c>
    </row>
    <row r="14">
      <c r="A14" s="9" t="s">
        <v>20</v>
      </c>
      <c r="B14" s="10"/>
      <c r="C14" s="10"/>
      <c r="D14" s="10"/>
      <c r="E14" s="10"/>
      <c r="F14" s="10"/>
      <c r="G14" s="10"/>
      <c r="H14" s="10"/>
      <c r="I14" s="10"/>
    </row>
    <row r="15">
      <c r="A15" s="4" t="s">
        <v>21</v>
      </c>
    </row>
    <row r="16">
      <c r="A16" s="4" t="s">
        <v>22</v>
      </c>
    </row>
    <row r="17">
      <c r="A17" s="4" t="s">
        <v>23</v>
      </c>
    </row>
    <row r="18">
      <c r="A18" s="4" t="s">
        <v>24</v>
      </c>
    </row>
    <row r="19">
      <c r="A19" s="4" t="s">
        <v>25</v>
      </c>
    </row>
    <row r="20">
      <c r="A20" s="4"/>
    </row>
    <row r="21">
      <c r="A21" s="4" t="s">
        <v>26</v>
      </c>
      <c r="B21" s="4" t="s">
        <v>27</v>
      </c>
      <c r="C21" s="4" t="s">
        <v>28</v>
      </c>
      <c r="D21" s="4" t="s">
        <v>29</v>
      </c>
      <c r="E21" s="4" t="s">
        <v>30</v>
      </c>
    </row>
    <row r="22">
      <c r="A22" s="4" t="s">
        <v>9</v>
      </c>
      <c r="B22" s="4">
        <v>44.0</v>
      </c>
      <c r="C22" s="4">
        <v>44.0</v>
      </c>
      <c r="D22" s="4">
        <v>30.0</v>
      </c>
      <c r="E22" s="4">
        <v>4.0</v>
      </c>
    </row>
    <row r="23">
      <c r="A23" s="4" t="s">
        <v>10</v>
      </c>
      <c r="B23" s="4">
        <v>37.0</v>
      </c>
      <c r="C23" s="4">
        <v>38.0</v>
      </c>
      <c r="D23" s="4">
        <v>24.0</v>
      </c>
      <c r="E23" s="4">
        <v>4.0</v>
      </c>
    </row>
    <row r="24">
      <c r="A24" s="4" t="s">
        <v>11</v>
      </c>
      <c r="B24" s="4">
        <v>33.0</v>
      </c>
      <c r="C24" s="4">
        <v>34.0</v>
      </c>
      <c r="D24" s="4">
        <v>23.0</v>
      </c>
      <c r="E24" s="4">
        <v>4.0</v>
      </c>
    </row>
    <row r="25">
      <c r="A25" s="4" t="s">
        <v>12</v>
      </c>
      <c r="B25" s="4">
        <v>31.0</v>
      </c>
      <c r="C25" s="4">
        <v>31.0</v>
      </c>
      <c r="D25" s="4">
        <v>20.0</v>
      </c>
      <c r="E25" s="4">
        <v>3.0</v>
      </c>
    </row>
    <row r="26">
      <c r="A26" s="11" t="s">
        <v>13</v>
      </c>
      <c r="B26" s="11">
        <v>31.0</v>
      </c>
      <c r="C26" s="11">
        <v>30.0</v>
      </c>
      <c r="D26" s="11">
        <v>20.0</v>
      </c>
      <c r="E26" s="11">
        <v>3.0</v>
      </c>
      <c r="F26" s="12"/>
      <c r="G26" s="12"/>
      <c r="H26" s="12"/>
      <c r="I26" s="12"/>
    </row>
    <row r="27">
      <c r="A27" s="4"/>
      <c r="B27" s="4"/>
      <c r="C27" s="13"/>
      <c r="D27" s="13"/>
      <c r="E27" s="13"/>
      <c r="F27" s="13"/>
      <c r="G27" s="13"/>
      <c r="H27" s="14"/>
      <c r="I27" s="4"/>
    </row>
    <row r="28">
      <c r="A28" s="4"/>
      <c r="B28" s="4"/>
      <c r="C28" s="13"/>
      <c r="D28" s="13"/>
      <c r="E28" s="13"/>
      <c r="F28" s="13"/>
      <c r="G28" s="13"/>
      <c r="H28" s="14"/>
      <c r="I28" s="4"/>
    </row>
    <row r="29">
      <c r="A29" s="4"/>
      <c r="B29" s="4"/>
      <c r="C29" s="13"/>
      <c r="D29" s="13"/>
      <c r="E29" s="13"/>
      <c r="F29" s="13"/>
      <c r="G29" s="13"/>
      <c r="H29" s="14"/>
      <c r="I29" s="4"/>
    </row>
    <row r="30">
      <c r="A30" s="4"/>
      <c r="B30" s="4"/>
      <c r="C30" s="13"/>
      <c r="D30" s="13"/>
      <c r="E30" s="13"/>
      <c r="F30" s="13"/>
      <c r="G30" s="13"/>
      <c r="H30" s="14"/>
      <c r="I30" s="4"/>
    </row>
    <row r="31">
      <c r="A31" s="4"/>
      <c r="B31" s="4"/>
      <c r="C31" s="13"/>
      <c r="D31" s="13"/>
      <c r="E31" s="13"/>
      <c r="F31" s="13"/>
      <c r="G31" s="13"/>
      <c r="H31" s="14"/>
      <c r="I31" s="4"/>
    </row>
    <row r="32">
      <c r="A32" s="4"/>
      <c r="B32" s="4"/>
      <c r="C32" s="13"/>
      <c r="D32" s="13"/>
      <c r="E32" s="13"/>
      <c r="F32" s="13"/>
      <c r="G32" s="13"/>
      <c r="H32" s="14"/>
      <c r="I32" s="4"/>
    </row>
    <row r="33">
      <c r="A33" s="4"/>
      <c r="B33" s="4"/>
      <c r="C33" s="13"/>
      <c r="D33" s="13"/>
      <c r="E33" s="13"/>
      <c r="F33" s="13"/>
      <c r="G33" s="13"/>
      <c r="H33" s="14"/>
      <c r="I33" s="4"/>
    </row>
    <row r="34">
      <c r="A34" s="4"/>
      <c r="B34" s="4"/>
      <c r="C34" s="13"/>
      <c r="D34" s="13"/>
      <c r="E34" s="13"/>
      <c r="F34" s="13"/>
      <c r="G34" s="13"/>
      <c r="H34" s="14"/>
      <c r="I34" s="4"/>
    </row>
    <row r="35">
      <c r="A35" s="4"/>
      <c r="B35" s="4"/>
      <c r="C35" s="13"/>
      <c r="D35" s="13"/>
      <c r="E35" s="13"/>
      <c r="F35" s="13"/>
      <c r="G35" s="13"/>
      <c r="H35" s="14"/>
      <c r="I35" s="4"/>
    </row>
    <row r="36">
      <c r="A36" s="4"/>
      <c r="B36" s="4"/>
      <c r="C36" s="13"/>
      <c r="D36" s="13"/>
      <c r="E36" s="13"/>
      <c r="F36" s="13"/>
      <c r="G36" s="13"/>
      <c r="H36" s="14"/>
      <c r="I36" s="4"/>
    </row>
    <row r="37">
      <c r="A37" s="4"/>
      <c r="B37" s="4"/>
      <c r="C37" s="13"/>
      <c r="D37" s="13"/>
      <c r="E37" s="13"/>
      <c r="F37" s="13"/>
      <c r="G37" s="13"/>
      <c r="H37" s="14"/>
      <c r="I37" s="4"/>
    </row>
    <row r="38">
      <c r="A38" s="4"/>
      <c r="B38" s="4"/>
      <c r="C38" s="13"/>
      <c r="D38" s="13"/>
      <c r="E38" s="13"/>
      <c r="F38" s="13"/>
      <c r="G38" s="13"/>
      <c r="H38" s="14"/>
      <c r="I38" s="4"/>
    </row>
    <row r="39">
      <c r="A39" s="4"/>
      <c r="B39" s="4"/>
      <c r="C39" s="13"/>
      <c r="D39" s="13"/>
      <c r="E39" s="13"/>
      <c r="F39" s="13"/>
      <c r="G39" s="13"/>
      <c r="H39" s="14"/>
      <c r="I39" s="4"/>
    </row>
    <row r="40">
      <c r="A40" s="4"/>
      <c r="B40" s="4"/>
      <c r="C40" s="13"/>
      <c r="D40" s="13"/>
      <c r="E40" s="13"/>
      <c r="F40" s="13"/>
      <c r="G40" s="13"/>
      <c r="H40" s="14"/>
      <c r="I40" s="4"/>
    </row>
    <row r="41">
      <c r="A41" s="4"/>
      <c r="B41" s="4"/>
      <c r="C41" s="13"/>
      <c r="D41" s="13"/>
      <c r="E41" s="13"/>
      <c r="F41" s="13"/>
      <c r="G41" s="13"/>
      <c r="H41" s="14"/>
      <c r="I41" s="4"/>
    </row>
    <row r="42">
      <c r="A42" s="4"/>
      <c r="B42" s="4"/>
      <c r="C42" s="13"/>
      <c r="D42" s="13"/>
      <c r="E42" s="13"/>
      <c r="F42" s="13"/>
      <c r="G42" s="13"/>
      <c r="H42" s="14"/>
      <c r="I42" s="4"/>
    </row>
    <row r="43">
      <c r="A43" s="4"/>
      <c r="B43" s="4"/>
      <c r="C43" s="13"/>
      <c r="D43" s="13"/>
      <c r="E43" s="13"/>
      <c r="F43" s="13"/>
      <c r="G43" s="13"/>
      <c r="H43" s="14"/>
      <c r="I43" s="4"/>
    </row>
    <row r="44">
      <c r="A44" s="4"/>
      <c r="B44" s="4"/>
      <c r="C44" s="13"/>
      <c r="D44" s="13"/>
      <c r="E44" s="13"/>
      <c r="F44" s="13"/>
      <c r="G44" s="13"/>
      <c r="H44" s="14"/>
      <c r="I44" s="4"/>
    </row>
    <row r="45">
      <c r="A45" s="4"/>
      <c r="B45" s="4"/>
      <c r="C45" s="13"/>
      <c r="D45" s="13"/>
      <c r="E45" s="13"/>
      <c r="F45" s="13"/>
      <c r="G45" s="13"/>
      <c r="H45" s="14"/>
      <c r="I45" s="4"/>
    </row>
    <row r="46">
      <c r="A46" s="4"/>
      <c r="B46" s="4"/>
      <c r="C46" s="13"/>
      <c r="D46" s="13"/>
      <c r="E46" s="13"/>
      <c r="F46" s="13"/>
      <c r="G46" s="13"/>
      <c r="H46" s="14"/>
      <c r="I46" s="4"/>
    </row>
    <row r="47">
      <c r="A47" s="4"/>
      <c r="B47" s="4"/>
      <c r="C47" s="13"/>
      <c r="D47" s="13"/>
      <c r="E47" s="13"/>
      <c r="F47" s="13"/>
      <c r="G47" s="13"/>
      <c r="H47" s="14"/>
      <c r="I47" s="4"/>
    </row>
    <row r="48">
      <c r="A48" s="4"/>
      <c r="B48" s="4"/>
      <c r="C48" s="13"/>
      <c r="D48" s="13"/>
      <c r="E48" s="13"/>
      <c r="F48" s="13"/>
      <c r="G48" s="13"/>
      <c r="H48" s="14"/>
      <c r="I48" s="4"/>
    </row>
    <row r="49">
      <c r="A49" s="4"/>
      <c r="B49" s="4"/>
      <c r="C49" s="13"/>
      <c r="D49" s="13"/>
      <c r="E49" s="13"/>
      <c r="F49" s="13"/>
      <c r="G49" s="13"/>
      <c r="H49" s="14"/>
      <c r="I49" s="4"/>
    </row>
    <row r="50">
      <c r="A50" s="4"/>
      <c r="B50" s="4"/>
      <c r="C50" s="13"/>
      <c r="D50" s="13"/>
      <c r="E50" s="13"/>
      <c r="F50" s="13"/>
      <c r="G50" s="13"/>
      <c r="H50" s="14"/>
      <c r="I50" s="4"/>
    </row>
    <row r="51">
      <c r="A51" s="4"/>
      <c r="B51" s="4"/>
      <c r="C51" s="13"/>
      <c r="D51" s="13"/>
      <c r="E51" s="13"/>
      <c r="F51" s="13"/>
      <c r="G51" s="13"/>
      <c r="H51" s="14"/>
      <c r="I51" s="4"/>
    </row>
    <row r="52">
      <c r="A52" s="4"/>
      <c r="B52" s="4"/>
      <c r="C52" s="13"/>
      <c r="D52" s="13"/>
      <c r="E52" s="13"/>
      <c r="F52" s="13"/>
      <c r="G52" s="13"/>
      <c r="H52" s="14"/>
      <c r="I52" s="4"/>
    </row>
    <row r="53">
      <c r="A53" s="4"/>
      <c r="B53" s="4"/>
      <c r="C53" s="13"/>
      <c r="D53" s="13"/>
      <c r="E53" s="13"/>
      <c r="F53" s="13"/>
      <c r="G53" s="13"/>
      <c r="H53" s="14"/>
      <c r="I53" s="4"/>
    </row>
    <row r="54">
      <c r="A54" s="4"/>
      <c r="B54" s="4"/>
      <c r="C54" s="13"/>
      <c r="D54" s="13"/>
      <c r="E54" s="13"/>
      <c r="F54" s="13"/>
      <c r="G54" s="13"/>
      <c r="H54" s="14"/>
      <c r="I54" s="4"/>
    </row>
    <row r="55">
      <c r="A55" s="4"/>
      <c r="B55" s="4"/>
      <c r="C55" s="13"/>
      <c r="D55" s="13"/>
      <c r="E55" s="13"/>
      <c r="F55" s="13"/>
      <c r="G55" s="13"/>
      <c r="H55" s="14"/>
      <c r="I55" s="4"/>
    </row>
    <row r="56">
      <c r="A56" s="4"/>
      <c r="B56" s="4"/>
      <c r="C56" s="13"/>
      <c r="D56" s="13"/>
      <c r="E56" s="13"/>
      <c r="F56" s="13"/>
      <c r="G56" s="13"/>
      <c r="H56" s="14"/>
      <c r="I56" s="4"/>
    </row>
  </sheetData>
  <drawing r:id="rId1"/>
</worksheet>
</file>